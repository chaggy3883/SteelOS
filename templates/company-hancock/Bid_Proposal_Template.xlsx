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Estimating\2026 Bidding\+2026 Estimating Template\"/>
    </mc:Choice>
  </mc:AlternateContent>
  <xr:revisionPtr revIDLastSave="0" documentId="13_ncr:1_{FD148A4E-3BF4-428E-B2F1-CE447702A9A8}" xr6:coauthVersionLast="47" xr6:coauthVersionMax="47" xr10:uidLastSave="{00000000-0000-0000-0000-000000000000}"/>
  <bookViews>
    <workbookView xWindow="-51720" yWindow="-1155" windowWidth="51840" windowHeight="21120" activeTab="9" xr2:uid="{444A9113-B6F1-4E75-98AC-446BE92CBA48}"/>
  </bookViews>
  <sheets>
    <sheet name="RECAP" sheetId="1" r:id="rId1"/>
    <sheet name="Structural" sheetId="3" r:id="rId2"/>
    <sheet name="J&amp;D" sheetId="8" r:id="rId3"/>
    <sheet name="Misc." sheetId="4" r:id="rId4"/>
    <sheet name="Outsourced" sheetId="13" r:id="rId5"/>
    <sheet name="Labor" sheetId="6" r:id="rId6"/>
    <sheet name="Allowance" sheetId="5" r:id="rId7"/>
    <sheet name="Addtn'l (AKP)" sheetId="7" r:id="rId8"/>
    <sheet name="Proposal" sheetId="11" r:id="rId9"/>
    <sheet name="COST CODES" sheetId="12" r:id="rId10"/>
    <sheet name="Estimator Notes" sheetId="9" r:id="rId11"/>
    <sheet name="Contract Review Record" sheetId="10" r:id="rId12"/>
  </sheets>
  <externalReferences>
    <externalReference r:id="rId13"/>
    <externalReference r:id="rId14"/>
  </externalReferences>
  <definedNames>
    <definedName name="_Hlk32486461" localSheetId="8">Proposal!#REF!</definedName>
    <definedName name="GRAND">#REF!</definedName>
    <definedName name="OLE_LINK1" localSheetId="8">Proposal!#REF!</definedName>
    <definedName name="_xlnm.Print_Area" localSheetId="7">'Addtn''l (AKP)'!$A$1:$I$35</definedName>
    <definedName name="_xlnm.Print_Area" localSheetId="9">'COST CODES'!$A$1:$H$40</definedName>
    <definedName name="_xlnm.Print_Area" localSheetId="8">Proposal!$A$1:$R$181</definedName>
    <definedName name="_xlnm.Print_Area" localSheetId="0">RECAP!$A$1:$K$53</definedName>
    <definedName name="Print_Area_MI">#REF!</definedName>
    <definedName name="Print_Titles_MI">#REF!,#REF!</definedName>
    <definedName name="xx">'[1]AIA G702'!$73:$380,'[1]AIA G702'!$C$5:$DH$16389</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2" l="1"/>
  <c r="K4" i="10"/>
  <c r="D8" i="7"/>
  <c r="D11" i="7"/>
  <c r="B2" i="9" l="1"/>
  <c r="A2" i="9"/>
  <c r="M177" i="11"/>
  <c r="E21" i="7"/>
  <c r="E20" i="7"/>
  <c r="C21" i="7" l="1"/>
  <c r="B11" i="1"/>
  <c r="R9" i="11"/>
  <c r="H14" i="12"/>
  <c r="D15" i="1"/>
  <c r="D14" i="13"/>
  <c r="C4" i="10"/>
  <c r="D11" i="1" l="1"/>
  <c r="I70" i="11"/>
  <c r="G70" i="11"/>
  <c r="G71" i="11"/>
  <c r="C34" i="7"/>
  <c r="D6" i="7"/>
  <c r="D7" i="7"/>
  <c r="D5" i="7"/>
  <c r="D4" i="7"/>
  <c r="D21" i="7"/>
  <c r="C20" i="7"/>
  <c r="D20" i="7" s="1"/>
  <c r="E25" i="7"/>
  <c r="E26" i="7"/>
  <c r="E27" i="7"/>
  <c r="E28" i="7"/>
  <c r="E29" i="7"/>
  <c r="E14" i="13"/>
  <c r="D16" i="1"/>
  <c r="D14" i="1"/>
  <c r="D37" i="1"/>
  <c r="C14" i="4"/>
  <c r="B14" i="4"/>
  <c r="D13" i="4"/>
  <c r="F13" i="4" s="1"/>
  <c r="D12" i="4"/>
  <c r="F12" i="4" s="1"/>
  <c r="D11" i="4"/>
  <c r="F11" i="4" s="1"/>
  <c r="D10" i="4"/>
  <c r="F10" i="4" s="1"/>
  <c r="D9" i="4"/>
  <c r="F9" i="4" s="1"/>
  <c r="D8" i="4"/>
  <c r="F8" i="4" s="1"/>
  <c r="D7" i="4"/>
  <c r="F7" i="4" s="1"/>
  <c r="D6" i="4"/>
  <c r="F6" i="4" s="1"/>
  <c r="D5" i="4"/>
  <c r="F5" i="4" s="1"/>
  <c r="D4" i="4"/>
  <c r="C14" i="13"/>
  <c r="B14" i="13"/>
  <c r="I4" i="1"/>
  <c r="D44" i="1" l="1"/>
  <c r="E31" i="7"/>
  <c r="D14" i="4"/>
  <c r="F4" i="4"/>
  <c r="F14" i="4" s="1"/>
  <c r="D42" i="1" s="1"/>
  <c r="G30" i="12"/>
  <c r="D40" i="1"/>
  <c r="G26" i="12" s="1"/>
  <c r="A6" i="12"/>
  <c r="A5" i="12"/>
  <c r="C14" i="12"/>
  <c r="C15" i="12"/>
  <c r="C27" i="12"/>
  <c r="C15" i="3"/>
  <c r="B15" i="3"/>
  <c r="B27" i="6"/>
  <c r="B13" i="6"/>
  <c r="C25" i="12"/>
  <c r="C21" i="12"/>
  <c r="C17" i="12"/>
  <c r="H23" i="12"/>
  <c r="H19" i="12"/>
  <c r="H31" i="12"/>
  <c r="H30" i="12"/>
  <c r="H29" i="12"/>
  <c r="H24" i="12"/>
  <c r="H11" i="12"/>
  <c r="H10" i="12"/>
  <c r="H9" i="12"/>
  <c r="G33" i="12"/>
  <c r="G31" i="12"/>
  <c r="G29" i="12"/>
  <c r="G24" i="12"/>
  <c r="G23" i="12"/>
  <c r="G18" i="12"/>
  <c r="G14" i="12"/>
  <c r="G11" i="12"/>
  <c r="G10" i="12"/>
  <c r="G9" i="12"/>
  <c r="Q7" i="11"/>
  <c r="H1" i="12"/>
  <c r="H3" i="12"/>
  <c r="H2" i="12"/>
  <c r="R71" i="11"/>
  <c r="R70" i="11"/>
  <c r="C10" i="11"/>
  <c r="C9" i="11"/>
  <c r="C3" i="10"/>
  <c r="B21" i="10"/>
  <c r="B25" i="10"/>
  <c r="B31" i="10"/>
  <c r="E22" i="7" l="1"/>
  <c r="D52" i="1" s="1"/>
  <c r="D18" i="1"/>
  <c r="D32" i="1" s="1"/>
  <c r="G16" i="12" s="1"/>
  <c r="D49" i="1"/>
  <c r="C8" i="8"/>
  <c r="B8" i="8"/>
  <c r="B17" i="8"/>
  <c r="D3" i="7"/>
  <c r="D34" i="1" l="1"/>
  <c r="E16" i="7"/>
  <c r="G22" i="12"/>
  <c r="B10" i="5"/>
  <c r="D46" i="1" s="1"/>
  <c r="D34" i="3"/>
  <c r="D33" i="3"/>
  <c r="D32" i="3"/>
  <c r="D31" i="3"/>
  <c r="D30" i="3"/>
  <c r="D29" i="3"/>
  <c r="D12" i="3"/>
  <c r="F12" i="3" s="1"/>
  <c r="D24" i="3"/>
  <c r="D23" i="3"/>
  <c r="D22" i="3"/>
  <c r="D21" i="3"/>
  <c r="D20" i="3"/>
  <c r="D19" i="3"/>
  <c r="D13" i="3"/>
  <c r="F13" i="3" s="1"/>
  <c r="D11" i="3"/>
  <c r="F11" i="3" s="1"/>
  <c r="D10" i="3"/>
  <c r="F10" i="3" s="1"/>
  <c r="D9" i="3"/>
  <c r="F9" i="3" s="1"/>
  <c r="D5" i="3"/>
  <c r="F5" i="3" s="1"/>
  <c r="D8" i="3"/>
  <c r="F8" i="3" s="1"/>
  <c r="D7" i="3"/>
  <c r="F7" i="3" s="1"/>
  <c r="D6" i="3"/>
  <c r="F6" i="3" s="1"/>
  <c r="D4" i="3"/>
  <c r="G19" i="12" l="1"/>
  <c r="D35" i="7"/>
  <c r="E35" i="7" s="1"/>
  <c r="F46" i="1"/>
  <c r="G32" i="12"/>
  <c r="D15" i="3"/>
  <c r="D35" i="3"/>
  <c r="D35" i="1" s="1"/>
  <c r="G20" i="12" s="1"/>
  <c r="F4" i="3"/>
  <c r="F14" i="3" s="1" a="1"/>
  <c r="G28" i="12"/>
  <c r="D25" i="3"/>
  <c r="D29" i="1" s="1"/>
  <c r="G13" i="12" s="1"/>
  <c r="F15" i="3" l="1"/>
  <c r="D28" i="1" s="1"/>
  <c r="K6" i="1" s="1"/>
  <c r="D48" i="1"/>
  <c r="G34" i="12" s="1"/>
  <c r="H49" i="1"/>
  <c r="G11" i="1"/>
  <c r="G69" i="11"/>
  <c r="G12" i="12" l="1"/>
  <c r="H29" i="1"/>
  <c r="F29" i="1"/>
  <c r="G29" i="1" s="1"/>
  <c r="H35" i="1"/>
  <c r="F35" i="1"/>
  <c r="G35" i="1" s="1"/>
  <c r="H48" i="1"/>
  <c r="H47" i="1"/>
  <c r="H46" i="1"/>
  <c r="H45" i="1"/>
  <c r="H44" i="1"/>
  <c r="H43" i="1"/>
  <c r="H42" i="1"/>
  <c r="H40" i="1"/>
  <c r="H39" i="1"/>
  <c r="H38" i="1"/>
  <c r="H37" i="1"/>
  <c r="H34" i="1"/>
  <c r="H33" i="1"/>
  <c r="H32" i="1"/>
  <c r="H30" i="1"/>
  <c r="H28" i="1"/>
  <c r="H27" i="1"/>
  <c r="H26" i="1"/>
  <c r="H25" i="1"/>
  <c r="F49" i="1"/>
  <c r="G49" i="1" s="1"/>
  <c r="F48" i="1"/>
  <c r="G48" i="1" s="1"/>
  <c r="F47" i="1"/>
  <c r="G47" i="1" s="1"/>
  <c r="G46" i="1"/>
  <c r="F45" i="1"/>
  <c r="G45" i="1" s="1"/>
  <c r="F44" i="1"/>
  <c r="G44" i="1" s="1"/>
  <c r="F43" i="1"/>
  <c r="G43" i="1" s="1"/>
  <c r="F42" i="1"/>
  <c r="G42" i="1" s="1"/>
  <c r="F40" i="1"/>
  <c r="G40" i="1" s="1"/>
  <c r="F39" i="1"/>
  <c r="G39" i="1" s="1"/>
  <c r="F38" i="1"/>
  <c r="G38" i="1" s="1"/>
  <c r="F37" i="1"/>
  <c r="G37" i="1" s="1"/>
  <c r="F34" i="1"/>
  <c r="G34" i="1" s="1"/>
  <c r="F33" i="1"/>
  <c r="G33" i="1" s="1"/>
  <c r="F32" i="1"/>
  <c r="G32" i="1" s="1"/>
  <c r="F30" i="1"/>
  <c r="G30" i="1" s="1"/>
  <c r="F28" i="1"/>
  <c r="G28" i="1" s="1"/>
  <c r="F27" i="1"/>
  <c r="G27" i="1" s="1"/>
  <c r="F26" i="1"/>
  <c r="G26" i="1" s="1"/>
  <c r="F25" i="1"/>
  <c r="G25" i="1" s="1"/>
  <c r="K2" i="1"/>
  <c r="B7" i="11" s="1"/>
  <c r="L7" i="11" s="1"/>
  <c r="G8" i="12" l="1"/>
  <c r="H52" i="1" l="1"/>
  <c r="F52" i="1"/>
  <c r="G52" i="1" l="1"/>
  <c r="D12" i="7" l="1"/>
  <c r="E12" i="7" l="1"/>
  <c r="D13" i="7"/>
  <c r="D14" i="7" l="1"/>
  <c r="D15" i="7" s="1"/>
  <c r="E15" i="7" s="1"/>
  <c r="E13" i="7"/>
  <c r="E14" i="7"/>
  <c r="E17" i="7" l="1"/>
  <c r="D51" i="1" s="1"/>
  <c r="G35" i="12" l="1"/>
  <c r="H51" i="1"/>
  <c r="F51" i="1"/>
  <c r="G51" i="1" s="1"/>
  <c r="D17" i="6" l="1"/>
  <c r="C21" i="6"/>
  <c r="D21" i="6" s="1"/>
  <c r="C22" i="6"/>
  <c r="D22" i="6" s="1"/>
  <c r="C23" i="6"/>
  <c r="D23" i="6" s="1"/>
  <c r="C24" i="6"/>
  <c r="D24" i="6" s="1"/>
  <c r="D26" i="6"/>
  <c r="C26" i="6"/>
  <c r="C17" i="6"/>
  <c r="C25" i="6"/>
  <c r="D25" i="6" s="1"/>
  <c r="C4" i="6"/>
  <c r="D4" i="6" s="1"/>
  <c r="C19" i="6"/>
  <c r="D19" i="6" s="1"/>
  <c r="C10" i="6"/>
  <c r="D10" i="6" s="1"/>
  <c r="C11" i="6"/>
  <c r="D11" i="6" s="1"/>
  <c r="C12" i="6"/>
  <c r="D12" i="6" s="1"/>
  <c r="C20" i="6"/>
  <c r="D20" i="6" s="1"/>
  <c r="C8" i="6"/>
  <c r="D8" i="6" s="1"/>
  <c r="C9" i="6"/>
  <c r="D9" i="6" s="1"/>
  <c r="C7" i="6"/>
  <c r="D7" i="6" s="1"/>
  <c r="C5" i="6"/>
  <c r="D5" i="6"/>
  <c r="C6" i="6"/>
  <c r="D6" i="6"/>
  <c r="C18" i="6"/>
  <c r="D18" i="6"/>
  <c r="C3" i="6"/>
  <c r="D3" i="6"/>
  <c r="G17" i="12" l="1"/>
  <c r="G25" i="12"/>
  <c r="D36" i="1"/>
  <c r="D27" i="6"/>
  <c r="D41" i="1" s="1"/>
  <c r="D13" i="6"/>
  <c r="D31" i="1" s="1"/>
  <c r="H36" i="1" l="1"/>
  <c r="F36" i="1"/>
  <c r="G21" i="12"/>
  <c r="G36" i="12" s="1"/>
  <c r="G36" i="1"/>
  <c r="F31" i="1"/>
  <c r="H31" i="1"/>
  <c r="G31" i="1"/>
  <c r="D50" i="1"/>
  <c r="F41" i="1"/>
  <c r="G27" i="12"/>
  <c r="G41" i="1"/>
  <c r="H41" i="1"/>
  <c r="F50" i="1" l="1"/>
  <c r="F53" i="1" s="1"/>
  <c r="H50" i="1"/>
  <c r="D53" i="1"/>
  <c r="H53" i="1" s="1"/>
  <c r="G50" i="1"/>
  <c r="D34" i="7" s="1"/>
  <c r="G53" i="1" l="1"/>
  <c r="K5" i="1" s="1"/>
  <c r="E34" i="7"/>
  <c r="E36" i="7" s="1"/>
  <c r="R65" i="11" s="1"/>
  <c r="I26" i="1" l="1"/>
  <c r="R64" i="11"/>
  <c r="R66" i="11" s="1"/>
  <c r="I38" i="1"/>
  <c r="I34" i="1"/>
  <c r="I44" i="1"/>
  <c r="I29" i="1"/>
  <c r="I45" i="1"/>
  <c r="I42" i="1"/>
  <c r="I28" i="1"/>
  <c r="I27" i="1"/>
  <c r="I30" i="1"/>
  <c r="I35" i="1"/>
  <c r="I39" i="1"/>
  <c r="I43" i="1"/>
  <c r="I47" i="1"/>
  <c r="I52" i="1"/>
  <c r="I49" i="1"/>
  <c r="I51" i="1"/>
  <c r="I37" i="1"/>
  <c r="I33" i="1"/>
  <c r="I48" i="1"/>
  <c r="I46" i="1"/>
  <c r="I32" i="1"/>
  <c r="I25" i="1"/>
  <c r="I40" i="1"/>
  <c r="G37" i="12"/>
  <c r="G38" i="12" s="1"/>
  <c r="G40" i="12" s="1"/>
  <c r="I41" i="1"/>
  <c r="I31" i="1"/>
  <c r="I3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Anne Pfleger</author>
    <author>Anne</author>
  </authors>
  <commentList>
    <comment ref="K6" authorId="0" shapeId="0" xr:uid="{823044B4-8346-42BE-892E-CF8BD49D1C7D}">
      <text>
        <r>
          <rPr>
            <b/>
            <sz val="9"/>
            <color indexed="81"/>
            <rFont val="Tahoma"/>
            <family val="2"/>
          </rPr>
          <t>Anne Pfleger:</t>
        </r>
        <r>
          <rPr>
            <sz val="9"/>
            <color indexed="81"/>
            <rFont val="Tahoma"/>
            <family val="2"/>
          </rPr>
          <t xml:space="preserve">
Is this for all material or just structural? All
</t>
        </r>
      </text>
    </comment>
    <comment ref="D11" authorId="0" shapeId="0" xr:uid="{86AF9B71-15E1-4343-A6A7-9E213568C468}">
      <text>
        <r>
          <rPr>
            <b/>
            <sz val="9"/>
            <color indexed="81"/>
            <rFont val="Tahoma"/>
            <family val="2"/>
          </rPr>
          <t>Anne Pfleger:</t>
        </r>
        <r>
          <rPr>
            <sz val="9"/>
            <color indexed="81"/>
            <rFont val="Tahoma"/>
            <family val="2"/>
          </rPr>
          <t xml:space="preserve">
Does this include structural and misc. hours? Yes</t>
        </r>
      </text>
    </comment>
    <comment ref="D17" authorId="0" shapeId="0" xr:uid="{A01B719E-BF82-4D33-89C1-86EE8B893B7B}">
      <text>
        <r>
          <rPr>
            <b/>
            <sz val="9"/>
            <color indexed="81"/>
            <rFont val="Tahoma"/>
            <family val="2"/>
          </rPr>
          <t>Anne Pfleger:</t>
        </r>
        <r>
          <rPr>
            <sz val="9"/>
            <color indexed="81"/>
            <rFont val="Tahoma"/>
            <family val="2"/>
          </rPr>
          <t xml:space="preserve">
How is this calculated? Estimator enters</t>
        </r>
      </text>
    </comment>
    <comment ref="F17" authorId="0" shapeId="0" xr:uid="{EBD2937A-2BEE-48D7-9AA7-73618A1DC1A6}">
      <text>
        <r>
          <rPr>
            <b/>
            <sz val="9"/>
            <color indexed="81"/>
            <rFont val="Tahoma"/>
            <family val="2"/>
          </rPr>
          <t>Anne Pfleger:</t>
        </r>
        <r>
          <rPr>
            <sz val="9"/>
            <color indexed="81"/>
            <rFont val="Tahoma"/>
            <family val="2"/>
          </rPr>
          <t xml:space="preserve">
Per Andy sq. ft per gallon</t>
        </r>
      </text>
    </comment>
    <comment ref="D18" authorId="0" shapeId="0" xr:uid="{B40F6942-C852-43EB-9EB1-38C475A8B1B2}">
      <text>
        <r>
          <rPr>
            <b/>
            <sz val="9"/>
            <color indexed="81"/>
            <rFont val="Tahoma"/>
            <family val="2"/>
          </rPr>
          <t>Anne Pfleger:</t>
        </r>
        <r>
          <rPr>
            <sz val="9"/>
            <color indexed="81"/>
            <rFont val="Tahoma"/>
            <family val="2"/>
          </rPr>
          <t xml:space="preserve">
Is there galvanizing on Misc.? Yes</t>
        </r>
      </text>
    </comment>
    <comment ref="D33" authorId="0" shapeId="0" xr:uid="{F29D7017-1ED2-46DA-9964-6A28C605E4C9}">
      <text>
        <r>
          <rPr>
            <b/>
            <sz val="9"/>
            <color indexed="81"/>
            <rFont val="Tahoma"/>
            <family val="2"/>
          </rPr>
          <t>Anne Pfleger:</t>
        </r>
        <r>
          <rPr>
            <sz val="9"/>
            <color indexed="81"/>
            <rFont val="Tahoma"/>
            <family val="2"/>
          </rPr>
          <t xml:space="preserve">
How is steel rolling calcluated? Estimator Enters</t>
        </r>
      </text>
    </comment>
    <comment ref="E46" authorId="1" shapeId="0" xr:uid="{09224A7F-FACC-41F8-A023-56F138A25480}">
      <text>
        <r>
          <rPr>
            <b/>
            <sz val="9"/>
            <color indexed="81"/>
            <rFont val="Tahoma"/>
            <family val="2"/>
          </rPr>
          <t>Anne:</t>
        </r>
        <r>
          <rPr>
            <sz val="9"/>
            <color indexed="81"/>
            <rFont val="Tahoma"/>
            <family val="2"/>
          </rPr>
          <t xml:space="preserve">
Project Specific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Anne</author>
  </authors>
  <commentList>
    <comment ref="D11" authorId="0" shapeId="0" xr:uid="{4D11ED05-31FA-4628-A4C3-2215229B1770}">
      <text>
        <r>
          <rPr>
            <b/>
            <sz val="9"/>
            <color indexed="81"/>
            <rFont val="Tahoma"/>
            <family val="2"/>
          </rPr>
          <t>Anne:</t>
        </r>
        <r>
          <rPr>
            <sz val="9"/>
            <color indexed="81"/>
            <rFont val="Tahoma"/>
            <family val="2"/>
          </rPr>
          <t xml:space="preserve">
Does not include Procore Pay/Textura fee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<sst xmlns="http://schemas.openxmlformats.org/spreadsheetml/2006/main" count="559" uniqueCount="435">
  <si>
    <t>Quote #:</t>
  </si>
  <si>
    <t>E26-XXX</t>
  </si>
  <si>
    <t>Date:</t>
  </si>
  <si>
    <t>Estimator:</t>
  </si>
  <si>
    <t>Profit:</t>
  </si>
  <si>
    <t>Material $/lb:</t>
  </si>
  <si>
    <t>Customer Name:</t>
  </si>
  <si>
    <t>Project Location:</t>
  </si>
  <si>
    <t>(Physical Address)</t>
  </si>
  <si>
    <t>Project Name:</t>
  </si>
  <si>
    <t>(City, State)</t>
  </si>
  <si>
    <t>Tons:</t>
  </si>
  <si>
    <t>Man Hrs:</t>
  </si>
  <si>
    <t>Man Hrs/Ton:</t>
  </si>
  <si>
    <t>Structural Fabrication</t>
  </si>
  <si>
    <t>Misc. Fabrication</t>
  </si>
  <si>
    <t>Shop Priming</t>
  </si>
  <si>
    <t>Galvanizing</t>
  </si>
  <si>
    <t>Detailing</t>
  </si>
  <si>
    <t>Engineering</t>
  </si>
  <si>
    <t>BIM</t>
  </si>
  <si>
    <t>Joist &amp; Deck</t>
  </si>
  <si>
    <t>Steel Rolling</t>
  </si>
  <si>
    <t>Grating</t>
  </si>
  <si>
    <t>Misc. Material &amp; Erection</t>
  </si>
  <si>
    <t>Outsourced Paint</t>
  </si>
  <si>
    <t>Outsourced Shot Blasting</t>
  </si>
  <si>
    <t>Subcontractor Other</t>
  </si>
  <si>
    <t>HSS Contingency</t>
  </si>
  <si>
    <t>Additional Cost: Insurance</t>
  </si>
  <si>
    <t>Performance/Payment Bond</t>
  </si>
  <si>
    <t>%:</t>
  </si>
  <si>
    <t>Sell Price:</t>
  </si>
  <si>
    <t>Cost Per Ton:</t>
  </si>
  <si>
    <t>% of Job:</t>
  </si>
  <si>
    <t>Profit Markup</t>
  </si>
  <si>
    <t>$:</t>
  </si>
  <si>
    <t>Cost:</t>
  </si>
  <si>
    <t>Description:</t>
  </si>
  <si>
    <t>Misc. Material</t>
  </si>
  <si>
    <t>Steel Erection</t>
  </si>
  <si>
    <t>Structural Material</t>
  </si>
  <si>
    <t>Outsourced Fabrication</t>
  </si>
  <si>
    <t>Jobsite Freight (Material Delivery)</t>
  </si>
  <si>
    <t>Additional Cost: LEED; Gov’t Job</t>
  </si>
  <si>
    <t>Bolts/Fasteners</t>
  </si>
  <si>
    <t>Weight</t>
  </si>
  <si>
    <t>Galv.</t>
  </si>
  <si>
    <t>Plate Summary</t>
  </si>
  <si>
    <t>Total:</t>
  </si>
  <si>
    <t>$/LB:</t>
  </si>
  <si>
    <t>N/A</t>
  </si>
  <si>
    <t>Painted:</t>
  </si>
  <si>
    <t>Quantity:</t>
  </si>
  <si>
    <t xml:space="preserve">% Escalation Allowance </t>
  </si>
  <si>
    <t>Lintels</t>
  </si>
  <si>
    <t>Misc. Materials:</t>
  </si>
  <si>
    <t>ALLOWANCE:</t>
  </si>
  <si>
    <t>Cost ($):</t>
  </si>
  <si>
    <t>Comment:</t>
  </si>
  <si>
    <t>Structural Fabrication:</t>
  </si>
  <si>
    <t>Hours:</t>
  </si>
  <si>
    <t>$/Hour:</t>
  </si>
  <si>
    <t>Processing Steel</t>
  </si>
  <si>
    <t>Load/Unload Material</t>
  </si>
  <si>
    <t>(Y or N):</t>
  </si>
  <si>
    <t>Rate:</t>
  </si>
  <si>
    <t>Builder's Risk Buy Down:</t>
  </si>
  <si>
    <t>Subtotal:</t>
  </si>
  <si>
    <t>Rate*:</t>
  </si>
  <si>
    <t>$0.01 - $500,000:</t>
  </si>
  <si>
    <t>$500,001 - $2,500,000:</t>
  </si>
  <si>
    <t>$2,500,001 - $5,000,000:</t>
  </si>
  <si>
    <t>$5,000,00+:</t>
  </si>
  <si>
    <t>$7,500,000+</t>
  </si>
  <si>
    <t>Fee:</t>
  </si>
  <si>
    <t>Sales Tax:</t>
  </si>
  <si>
    <t>Project Pay:</t>
  </si>
  <si>
    <t>Textura:</t>
  </si>
  <si>
    <t>Certified:</t>
  </si>
  <si>
    <t>Silver:</t>
  </si>
  <si>
    <t>Gold:</t>
  </si>
  <si>
    <t>Platinum:</t>
  </si>
  <si>
    <t>Government Job:</t>
  </si>
  <si>
    <t>Tax Area:</t>
  </si>
  <si>
    <t>Tax Exempt</t>
  </si>
  <si>
    <t>Tax Rate:</t>
  </si>
  <si>
    <t>Hancock</t>
  </si>
  <si>
    <t>Indiana</t>
  </si>
  <si>
    <t>Kentucky</t>
  </si>
  <si>
    <t>Michigan</t>
  </si>
  <si>
    <t>UT: American Fork</t>
  </si>
  <si>
    <t>UT: Heber City</t>
  </si>
  <si>
    <t>Scope Description:</t>
  </si>
  <si>
    <t>Erection ($):</t>
  </si>
  <si>
    <t>Bolts/Fasteners:</t>
  </si>
  <si>
    <t>Misc. Fabrication:</t>
  </si>
  <si>
    <t>Procore Pay/Textura Fee 
(including sales tax)</t>
  </si>
  <si>
    <t>FOB or Erected:</t>
  </si>
  <si>
    <t>Joist:</t>
  </si>
  <si>
    <t>Pieces:</t>
  </si>
  <si>
    <t>Tonnage:</t>
  </si>
  <si>
    <t>Deck:</t>
  </si>
  <si>
    <t>Squares:</t>
  </si>
  <si>
    <t>Structural Material:</t>
  </si>
  <si>
    <t>Structural Material Package</t>
  </si>
  <si>
    <t>Lowest Vendor Quote:</t>
  </si>
  <si>
    <t>Shop Information:</t>
  </si>
  <si>
    <t>Pricing Analysis:</t>
  </si>
  <si>
    <t>Estimate Number:</t>
  </si>
  <si>
    <t>Bid Date:</t>
  </si>
  <si>
    <t>Drawing Date:</t>
  </si>
  <si>
    <t>Notes:</t>
  </si>
  <si>
    <t>Addendum #:</t>
  </si>
  <si>
    <t>Addendum Date:</t>
  </si>
  <si>
    <t>Addendum Notes:</t>
  </si>
  <si>
    <t>Nikki Perkins</t>
  </si>
  <si>
    <t>Rick Lonsway</t>
  </si>
  <si>
    <t>Andy Boyce</t>
  </si>
  <si>
    <t>Bill Holtfreter</t>
  </si>
  <si>
    <t>Paul Hostetter</t>
  </si>
  <si>
    <t>Joshua Waller</t>
  </si>
  <si>
    <t>Turnover Meeting Required Attendees:</t>
  </si>
  <si>
    <t>Surface Preparation / Primer / Finish Paint Instruction of surface rep</t>
  </si>
  <si>
    <t>Fire Proofing</t>
  </si>
  <si>
    <t>TC Bolt Required?</t>
  </si>
  <si>
    <t>Special Shipping Instructions</t>
  </si>
  <si>
    <t>Joist &amp; Deck required</t>
  </si>
  <si>
    <t>Engineering Required</t>
  </si>
  <si>
    <t>Special/ Unusual Materials required list below:</t>
  </si>
  <si>
    <t>Type:</t>
  </si>
  <si>
    <t>Company:</t>
  </si>
  <si>
    <t>Scope of Work Attached</t>
  </si>
  <si>
    <t>Estimator Notes Attached</t>
  </si>
  <si>
    <t>All vendor quotes saved in estimate folder</t>
  </si>
  <si>
    <t>All plans, specifications, addendums (including post-bid) sent to erector, detailer, engineer, joist &amp; deck suppliers, and any other vendors receiving a subcontract or purchase order?</t>
  </si>
  <si>
    <t>All Addendums received and recorded</t>
  </si>
  <si>
    <t>Specifications &amp; plans received &amp; recorded</t>
  </si>
  <si>
    <t>NO</t>
  </si>
  <si>
    <t>YES</t>
  </si>
  <si>
    <t xml:space="preserve">       Check Box</t>
  </si>
  <si>
    <t>ITEMS &amp; COMMENTS</t>
  </si>
  <si>
    <t>Job #:</t>
  </si>
  <si>
    <t>Job Name:</t>
  </si>
  <si>
    <t>Contract Review Record</t>
  </si>
  <si>
    <t>26-</t>
  </si>
  <si>
    <t>813 E Bigelow Avenue</t>
  </si>
  <si>
    <t>Findlay, OH 45840</t>
  </si>
  <si>
    <t>Phone: 419-424-1217</t>
  </si>
  <si>
    <t>Proposal Expires:</t>
  </si>
  <si>
    <t>Project:</t>
  </si>
  <si>
    <t>Customer (Buyer):</t>
  </si>
  <si>
    <t>Attention:</t>
  </si>
  <si>
    <t>Specification Sections:</t>
  </si>
  <si>
    <t>Drawings Used:</t>
  </si>
  <si>
    <t>Supplied Cut Sheet:</t>
  </si>
  <si>
    <t>Addendums:</t>
  </si>
  <si>
    <t>Includes:</t>
  </si>
  <si>
    <t>- XX Columns</t>
  </si>
  <si>
    <t>-</t>
  </si>
  <si>
    <t>- Detailing and Shop Drawings</t>
  </si>
  <si>
    <t>- Standard Hancock Steel Shop Primer</t>
  </si>
  <si>
    <t>Excludes:</t>
  </si>
  <si>
    <t>- Grout and Grouting</t>
  </si>
  <si>
    <t>- Field Measurements</t>
  </si>
  <si>
    <t>- Anchor Bolt Leveling</t>
  </si>
  <si>
    <t>- Light Gage Material (if applicable)</t>
  </si>
  <si>
    <t>- Installation of Deck over Light Gage Trusses</t>
  </si>
  <si>
    <t>- Abatement (if applicable)</t>
  </si>
  <si>
    <t>- Shoring (if applicable)</t>
  </si>
  <si>
    <t>- BIM and Engineering unless listed in inclusions above</t>
  </si>
  <si>
    <t>- BIM is NOT available for decking</t>
  </si>
  <si>
    <t>- All other items not listed in the inclusions above</t>
  </si>
  <si>
    <t>- Sales Tax</t>
  </si>
  <si>
    <t>Clarifications:</t>
  </si>
  <si>
    <t>- $1,000,000 each occurrence/2,000,000 general aggregate Commercial General Liability insurance limits included in proposal.</t>
  </si>
  <si>
    <t>- $5,000,000 each occurence/aggregate Umbrella insurance limit included in proposal.</t>
  </si>
  <si>
    <t>Additional Notes:</t>
  </si>
  <si>
    <t>- Joist &amp; Deck (if applicable) Order and Ship Date Deadlines:</t>
  </si>
  <si>
    <t xml:space="preserve">  + Must Order by Date:</t>
  </si>
  <si>
    <t xml:space="preserve">  + Must Ship Complete by Date:</t>
  </si>
  <si>
    <t>Alternates:</t>
  </si>
  <si>
    <t>Allowances:</t>
  </si>
  <si>
    <t>F.O.B. Jobsite (Supply Only - Not Erected)</t>
  </si>
  <si>
    <t>Unless a sales tax exemption certificate is received, the current sales tax rate on the date of the invoice will be added.</t>
  </si>
  <si>
    <t>Structural Steel:</t>
  </si>
  <si>
    <t>Tons</t>
  </si>
  <si>
    <t>Sincerely,</t>
  </si>
  <si>
    <t>Steel Joist:</t>
  </si>
  <si>
    <t>Pc's</t>
  </si>
  <si>
    <t>E-Mail:</t>
  </si>
  <si>
    <t>Metal Deck:</t>
  </si>
  <si>
    <t>Squares</t>
  </si>
  <si>
    <t>Escalation is Based on Today's Prices. 
Quote is valid for seven (7) days after which time pricing it is subject to review.</t>
  </si>
  <si>
    <t>Any terms, conditions, pricing, or other bid information provided by Hancock Structural Steel, LLC, is confidential and proprietary trade secret information, the unauthorized disclosure of which is prohibited by law.  As a condition of using Hancock Structural Steel, LLC’s terms, conditions, pricing, or other bid information in any bids or other disclosures expressly authorized by  Hancock Structural Steel, LLC, you must agree not to otherwise disclose this information to suppliers, customers, competitors, or other entities or individuals that have not been expressly pre-approved by Seller.</t>
  </si>
  <si>
    <t>Agree To:</t>
  </si>
  <si>
    <t>By:</t>
  </si>
  <si>
    <t>Hancock Structural Steel, LLC</t>
  </si>
  <si>
    <t>(Signature)</t>
  </si>
  <si>
    <t>SEE BELOW TERMS AND CONDITIONS WHICH ARE INCORPORATED INTO THIS PROPOSAL AND CONTRACT WITH CUSTOMER (BUYER).</t>
  </si>
  <si>
    <t>STANDARD TERMS &amp; CONDITIONS OF SALE</t>
  </si>
  <si>
    <t>ARTICLE 1 – PROPOSAL TERMS AND CONTRACT DOCUMENTS:</t>
  </si>
  <si>
    <t xml:space="preserve">These Standard Terms &amp; Conditions of Sale are part of Hancock Structural Steel, LLC’s (“Seller”) Proposal (the “Proposal”). “Buyer” or “Buyer” means the Buyer listed in the Proposal. </t>
  </si>
  <si>
    <t>PROPOSAL TERMS.  This offer is expressly limited to these terms, and any attempt to add to such terms shall be deemed a rejection and a counteroffer, which may result in a withdrawal of this Proposal or a modification in price.</t>
  </si>
  <si>
    <t>1.2.1</t>
  </si>
  <si>
    <t xml:space="preserve">If this Proposal is accepted, and the Buyer’s order is issued for that purpose, it is expressly agreed that the terms and conditions of this Proposal shall prevail insofar as the same may in any way conflict with the terms and conditions set forth in the Buyer’s order form, and the issuance of such order form by the Buyer shall be deemed to be the Buyer’s assent to the foregoing. </t>
  </si>
  <si>
    <t>1.2.2</t>
  </si>
  <si>
    <t>If, as a result of this provision, Seller is asked or required to enter into a separate written agreement beyond the terms of this Proposal, then, in that event, Seller reserves the right to review the general terms and conditions of the proposed agreement and the right to reject any and all terms and conditions of said agreement which are in conflict with or vary the terms of this Proposal.</t>
  </si>
  <si>
    <t>1.2.3</t>
  </si>
  <si>
    <t>Time Limit of Proposal.  Unless modified by the Proposal or given a directive to proceed resulting in a Contract as set forth in Article 1.3, the Proposal shall be valid for seven (7) days from the date provided thereon, and thereafter shall automatically terminate unless extended in writing by Seller.  The Proposal is made with reference to steel prices in effect on the date of the Proposal.  This Proposal may be changed or revoked at any time by Seller prior to acceptance.</t>
  </si>
  <si>
    <t xml:space="preserve">CONTRACT.  In the event, prior to the execution of a mutually agreeable contract, that Seller is directed to purchase material, begin the shop drawing process, or otherwise commence any of the work contemplated by this Proposal, this Proposal shall be deemed accepted, and becomes a binding agreement. Seller reserves the right to refuse or negotiate terms of any other proposed agreement presented by the Buyer as a substitution to these STANDARD TERMS &amp; CONDITIONS OF SALE. </t>
  </si>
  <si>
    <t>1.3.1</t>
  </si>
  <si>
    <t>No terms and conditions contained in the agreement between Owner and Buyer, if applicable, shall be binding on Seller unless a copy of such terms and conditions has been furnished to Seller and accepted in writing signed by the Seller.</t>
  </si>
  <si>
    <t>1.3.2</t>
  </si>
  <si>
    <t xml:space="preserve">The parties expressly agree that this Proposal embodies their entire Contract; any subsequent cancellations or modifications must be agreed upon in writing. </t>
  </si>
  <si>
    <t>1.3.3</t>
  </si>
  <si>
    <t>Buyer and Seller agree that Seller’s Scope of Work is limited to the structural steel shown or noted on the structural design drawings only (“Work”).</t>
  </si>
  <si>
    <t>1.3.4</t>
  </si>
  <si>
    <t>Contract Documents.  Unless agreed to by Seller in writing, the Contract Documents are limited to the plans and specifications specifically referenced in the Proposal and these Standard Terms &amp; Conditions of Sale (“Contract Documents”). If there is any conflict among the provisions of the Proposal, these Standard Terms &amp; Conditions of Sale, the referenced plans and specifications, or Buyer’s acceptance (hereinafter collectively called “Contract”), the documents shall govern in the order just given.</t>
  </si>
  <si>
    <t>CODE OF STANDARD PRACTICE.  Buyer and Seller agree that the Work shall be performed in accordance with the terms of these Standard Terms and Conditions of Sale and the American Institute of Steel Construction Code of Standard Practice for Buildings and Bridges (“CoSP”), in the addition specified in the Contract Documents, and if none is specified, the current edition of the CoSP.</t>
  </si>
  <si>
    <t xml:space="preserve">PLANS AND SPECIFICATIONS.  Seller shall be entitled to rely upon the plans and specifications provided to it by Buyer. Seller is not responsible for the suitability, adequacy, or building code conformance of the design or information provided by others, including the Contract Documents, nor does it assume responsibility for determining that the Owner’s requirements have been included in the design documents and specifications provided by others.  </t>
  </si>
  <si>
    <t>1.5.1</t>
  </si>
  <si>
    <t>If the design is not complete at the time of the Proposal, released for construction drawings and approved shop drawings will be required before material purchases or fabrication can commence. Seller reserves the right to seek an equitable adjustment to the Contract Time or Contract Sum if the design drawings are incomplete.</t>
  </si>
  <si>
    <t>SCOPE OF WORK.  Materials will be fabricated in accordance with structural design drawings and specifications and with detailed shop drawings as approved by Owner or Owner’s authorized representatives (also known as “Products”). Seller will perform shop inspections in accordance with Owner’s requirements, to the extent they are expressly provided for in the structural steel specifications, as well as applicable AISC, AWS and AASHTO standards. Buyer, at its expense, must set, drill, grout, and tighten anchor bolts for steel members. Unless otherwise provided in the Proposal, Seller’s price does not include costs associated with field measurements, site surveys, shop inspection by independent 3rd party agencies, removal of hauling residue, field cleaning of any stain resulting from steel oxidization, field touch-up paint, painting, galvanizing, or supply of miscellaneous metals, embedded items, scuppers, drains, railings, conduit hangers or supports, shims, expansion dams, neoprene joints, sealing materials, grout, shear studs, or bolts other than connection bolts for supplied items.</t>
  </si>
  <si>
    <t>PERMITS &amp; LICENSES.  Buyer shall obtain, without cost to Seller, all permits, licenses, easements, and environmental approvals necessary for the execution of the Contract.</t>
  </si>
  <si>
    <t>ARTICLE 2 – TERMS OF PAYMENT:</t>
  </si>
  <si>
    <t xml:space="preserve">CONTRACT SUM.  The Contract Sum shall be as set forth on the face of the Proposal. </t>
  </si>
  <si>
    <t xml:space="preserve">SCHEDULE OF VALUES. Seller will submit a Schedule of Values for progress invoicing.  </t>
  </si>
  <si>
    <t>TIME FOR PAYMENT.  Payment shall be made to Seller within thirty (30) days of the date of Seller’s invoice.</t>
  </si>
  <si>
    <t xml:space="preserve">REMEDIES FOR NON-PAYMENT.  If Buyer does not pay Seller any amount due under this Contract or any other agreement when such amount is due, such shall be deemed in material breach of Contract, and Seller may, without liability to Buyer, and without prejudice to Seller’s other lawful remedies (i) terminate Seller’s obligations under this Contract; (ii) declare immediately due and payable all Buyer’s obligations to Seller; (iii) change credit terms with respect to any further work, including, but not limited to, receipt of cash in advance of further shipment for amounts owed or to be owed; (iv) suspend or discontinue any further work and, if suspended, the time to complete the Contract shall be extended for the period of such suspension; and/or (v) repossess the Products.  The Contract amount shall be increased, by appropriate adjustment, by the amount of Seller’s demobilization, delay, and remobilization costs. </t>
  </si>
  <si>
    <t xml:space="preserve">NO OFFSET OR SET-OFF.  Buyer shall not set-off amounts due to any alleged claims against Seller on this Project or any other project. </t>
  </si>
  <si>
    <t xml:space="preserve">SERVICE CHARGES.  Payments not received when due shall incur service charges at the rate of one and a half percent (1.5%) per month (18% per annum) until paid. </t>
  </si>
  <si>
    <t>NO CONTINGENT PAYMENTS.  Payments due to Seller are not contingent upon payments by others nor shall Seller waive its lien rights prior to receiving payments due.</t>
  </si>
  <si>
    <t>NO RETAINAGE.  The Buyer agrees to pay the full purchase price stated in this Proposal. Retainage may not be withheld without the specific written consent of Seller. There will be no withholding of monies from Seller’s payments. Deductive change orders or back charges may not be withheld from any payments due Seller without written consent of Seller. Any disputed deductive change orders or back charges shall be resolved as set forth in Article 11.</t>
  </si>
  <si>
    <t>NO PERFORMANCE OR PAYMENT BOND.  The quoted price does NOT include the cost of a performance or payment bond Unless otherwise provided in the Proposal.</t>
  </si>
  <si>
    <t>ADEQUATE ASSURANCES.  In the event a reasonable doubt exists as to the Buyer’s financial responsibility, Seller shall have the right, in addition to all others it may possess, to stop operations, withhold shipment and recall in transit, and/or require a full or partial cash payment, until the Buyer shall have paid for all material previously delivered or satisfied Seller of Buyer’s financial responsibility and ability to pay the full Contract price.  Seller shall have no obligation to begin or continue performance until adequate credit and funding information is provided, at any time on request of Seller. Seller may stop the manufacture or supply of any labor or materials when it, in its sole discretion, determines that Buyer is in breach of this Agreement or any other Contract with Seller or Seller has insecurity with respect to funding or creditworthiness, until payment is made, and any dispute or insecurity has been resolved.</t>
  </si>
  <si>
    <t>LIEN WAIVERS:  Nothing in the Contract Documents shall cause to be voided or diminished in any manner Seller’s right to enforce its mechanic’s lien rights or obtain payment under an applicable payment bond if Seller is not timely paid. Seller will only execute unconditional and/or final lien waivers for amounts actually received and any lien waivers shall only relate to the actual Work performed and not future Work or future payments. Any form or release wherein the Subcontractor purports to release the Contractor, Owner, or Design Professional is hereby qualified by the following language, whether or not the Subcontractor specifically adds the language:  “This release shall apply only to work for which payment has been received in full by Seller, and it shall not apply to retainage, unbilled changes, or amounts not yet paid.”</t>
  </si>
  <si>
    <t>ARTICLE 3 – LIMITATIONS ON WARRANTIES AND LIABILITIES:</t>
  </si>
  <si>
    <t>DUTY TO INSPECT PRIOR TO ERECTION.  All claims against Seller will be deemed waived unless made in writing within the earlier of, five (5) calendar days of delivery or two (2) days prior to erection. Claims against Seller will be waived unless Seller is given adequate opportunity to inspect, approve, and, if required, correct the cause of the claim. The provision includes, but is not limited to, errors, material defects, faulty workmanship, shortages, and assessments. A representative of Seller must authorize all claims. No claim will be allowed for corrections of alleged errors in materials fabricated by Seller unless Seller is notified before the corrections are made and Seller’s responsibility is proven.</t>
  </si>
  <si>
    <t>LIMITED WARRANTY:  Seller warrants that the work described in the Contract shall be free from defects in workmanship and material, which vary from the Contract Documents. Seller shall replace or repair any such faulty workmanship or defective material, which varies from the Contract Documents, provided that it is reported in writing to Seller (a) five (5) calendar days after delivery for defects which can be discovered upon a reasonable inspection, or (b) for latent defects, one (1) year from date of on which seller last delivers materials or services within the Scope of this Contract (“Warranty Period”). THE LIABILITY OF SELLER IS LIMITED TO THE REPAIR AND REPLACEMENT OF ANY DEFECTIVE MATERIALS OR PARTS THEREOF AT ITS SHOP, OR AT SUCH OTHER LOCATION AS SELLER, IN ITS SOLE OPTION SHALL DESIGNATE.</t>
  </si>
  <si>
    <t>3.2.1</t>
  </si>
  <si>
    <t>Seller shall be allowed time to inspect and verify a claim and shall have access to all performance data. No credit will be allowed for any cost or expense Buyer may incur in replacing or correcting materials or workmanship hereunder or for charges for labor or materials furnished by Buyer unless Buyer has obtained Seller’s prior written approval.</t>
  </si>
  <si>
    <t xml:space="preserve">NO OTHER WARRANTIES.  THE WARRANTIES SET FORTH IN THIS ARTICLE ARE EXCLUSIVE &amp; IN LIEU OF ALL OTHER WARRANTIES WHETHER STATUTORY, EXPRESS, OR IMPLIED (INCLUDING ALL WARRANTIES OF MERCHANTABILITY &amp; FITNESS FOR PARTICULAR PURPOSE AND/OR WARRANTIES ARISING FROM COURSE OF DEALING OR USAGE OF TRADE). THE REMEDIES PROVIDED ABOVE ARE THE BUYER’S SOLE REMEDIES FOR ANY FAILURE OF SELLER TO COMPLY WITH ITS OBLIGATIONS. SELLER HEREBY DISCLAIMS AND EXCLUDES ALL OTHER WARRANTIES. Any other statement in Contract Documents shall not be deemed to constitute a warranty. </t>
  </si>
  <si>
    <t>LIMITATION OF REMEDIES.  Corrections of non-conformities in the manner and for the period of time provided above shall constitute fulfillment of all liabilities of Seller to Buyer, whether based on warranty, contract, strict liability, negligence, willfulness or any other legal theory. IN NO EVENT SHALL SELLER BE LIABLE TO BUYER OR OTHER THIRD PARTIES FOR ANY SPECIAL, INDIRECT, INCIDENTAL OR CONSEQUENTIAL DAMAGES OR LOST PROFIT ARISING OUT OF OR IN ANY WAY CONNCETED WITH SELLER’S WORK UNDER THIS AGREEMENT.</t>
  </si>
  <si>
    <t>ACCEPTANCE AND ACKNOWLEDGMENT.  Acceptance of the Products shall occur if no written notice is made in writing, as set forth in Article 3.1, within the earlier of, five (5) calendar days of delivery or two (2) days prior to erection.   By acceptance of the fabricated Products described on this Proposal, Buyer acknowledges that the limitations, disclaimers and terms set forth herein are conditions of the sale and that they constitute the entire agreement between Seller and Buyer regarding warranty or any other liability or damages.</t>
  </si>
  <si>
    <t xml:space="preserve">DEFECTS BY OTHERS.  Seller shall NOT be liable for any damages attributable to the Buyer or workmanship by others. THERE IS NO WARRANTY and Seller shall not be obligated to replace or repair all or any part of the work when such defects are not directly attributable to defects in Seller’ workmanship or material, such as, but not limited to, defects caused by operating abuse, neglect, erosion, corrosion, force majeure or other similar causes beyond Seller’ control.  </t>
  </si>
  <si>
    <t xml:space="preserve">PRODUCTS NOT FABRICATED BY SELLER.  Seller’s sole obligation with respect to products not manufactured or produced by Seller or services directly rendered by Seller shall be limited to assigning or transferring to Buyer any written warranty extended to Seller by the manufacturer of such products or subcontractor of such services to the extent such warranty may be so assigned.  </t>
  </si>
  <si>
    <t>EFFECTIVE DATE OF WARRANTIES.  The only warranties made by Seller are those expressly stated in this Article 3, and while it begins to run on the date of delivery, it shall not be effective until full and final payment of the Contract amount, including all adjustments thereto, has been received by Seller.</t>
  </si>
  <si>
    <t>LIMITATION OF LIABILITY.  The remedies of Buyer set forth in Article 3 are exclusive, and the total liability of Seller with respect to the Contract or anything done in connection therewith, such as the timeliness or quality of performance or lack thereof, whether in Contract, in tort (including negligence and strict liability), in warranty or otherwise shall not exceed ten percent (10%) of the amount paid to Seller on account of this Contract.  Seller shall not be responsible for any liquidated damages or penalties related to time of performance or delays. Seller shall not be liable for work being done without its prior knowledge or consent.</t>
  </si>
  <si>
    <t>ARTICLE 4 – INDEMNIFICATION:</t>
  </si>
  <si>
    <t>Buyer hereby releases and agrees to indemnify, defend and hold harmless Seller, its shareholders, officers, agents, employees, affiliates, successors, assigns and third-party suppliers (“Seller’s Indemnified Parties”) from and against any and all direct and indirect claims, debts, actions, causes of action, liabilities, loss, suits, demands, fines, penalties, judgments, omissions, damages or expenses whatsoever, including, without limitation, attorneys’ fees and costs (“Damages”) incurred by or against Seller or any of Seller’s Indemnified Parties due to or arising out of, in connection with, resulting from or relating to (i) misrepresentations, breach of the warranties, representations, covenants or agreement contained in this Contract or any law by Buyer or any of Buyer’s shareholders, directors, officers, employees, affiliates, representatives, agents, successors or assigns (“Buyer’s Parties”), or (ii) any damage to or destruction of property, or injury to or death of persons caused, or alleged to have been caused, in whole or in part, by any intentional, reckless, negligent or other act (or failure to act) of Buyer or any of Buyer’s Parties, or (iii) losses, damages or injuries caused by Buyer’s products, Buyer’s specifications, designs, approvals or instructions provided to Seller, or due to improper application or use of the Products or otherwise.  Prior to settling any claim, Buyer will give Seller an opportunity to participate in the defense and/or settlement of such claim. Buyer shall not settle any claim without Seller’s written consent. In the event of any recall affecting the Products, Seller shall have the right to control the recall process and Buyer shall fully cooperate with Seller in connection with the recall.</t>
  </si>
  <si>
    <t>ARTICLE 5 – TITLE &amp; RISK OF LOSS:</t>
  </si>
  <si>
    <t>TITLE TO WORK.  The title and right of possession of the Work shall remain in Seller whatever may be the mode of its attachment to realty or other property, until all payments are made in accordance with this Contract. Title shall pass to Buyer upon payment being fully made as set forth in this Contract.</t>
  </si>
  <si>
    <t xml:space="preserve">RIGHT OF POSSESSION.  Where Buyer has failed to make a payment within the allowed time, Seller may declare all remaining payments due and payable and, in exercise of its right of possession, shall have right of entry to the premises where the work is located and the right to remove the work from the premises.  If the sum of the resale of salvage value of the work so removed and all payments made by Buyer exceeds the total damages (including consequential damages) to Seller, Seller will pay the excess amount to Buyer. </t>
  </si>
  <si>
    <t>SECURITY INTEREST.  Notwithstanding the foregoing, and as a precaution in case a court or an arbitrator deems title to the work to pass to Buyer prior to the full payment of the Contract price, Buyer hereby grants to Seller, in partial consideration for Seller’s sale of the Products and/or work, and Seller hereby retains a security interest in all Products sold to Buyer and documents relating to such Products or work now or hereafter in the possession of or under the control of Buyer, title to which might at any time be determined to have passed to Buyer including, without limitation, insurance proceeds and proceeds from the Buyer’s Contract with the owner listed therein, to secure Buyer’s obligations to Seller under this contract and all other obligations of Buyer to Seller.  Buyer (i) authorizes Seller to execute, on Buyer’s behalf such financing statements, continuation statements and (ii) agrees to execute such other documents including, but not limited to pledge agreements, and to take such actions as may be required by Seller to evidence or perfect the security interest granted herein and the interest of Seller.</t>
  </si>
  <si>
    <t xml:space="preserve">RISK OF LOSS.  Buyer assumes all risk of loss after accepting care, custody, and control of any or all parts of the work. Owner or Buyer shall carry and maintain All Risk or Builder’s Risk insurance throughout the duration of the Project to cover all materials provided by Seller, and Seller shall be an additional named insured under such insurance policy. </t>
  </si>
  <si>
    <t>ARTICLE 6 – CONTRACT TIME:</t>
  </si>
  <si>
    <t>CONTRACT TIME.  Seller shall only be bound to the project schedule to the extent it is specifically incorporated as a Contract Document on the face of this Proposal; otherwise, Seller shall perform the Work within a reasonable amount of time (“Contract Time”).  If a schedule is expressly listed on the face of this Proposal, any modification to the agreed upon schedule shall allow Seller a reasonable time to complete its Work in an efficient manner considering the contract completion date and any interim times set forth in the project schedule.  Seller’s ability to meet the required schedule is based on Buyer’s provision of contract drawings that comply with Section 3.1 of the AISC Code of Standard Practice at the time of bidding. Drawings must be clear and provide all details required for the preparation of shop drawings and fabrication. In the event RFIs are issued by Seller, schedule impacts should be expected.</t>
  </si>
  <si>
    <t>6.1.1</t>
  </si>
  <si>
    <t>In the absence of an agreed delivery schedule, Seller will produce, deliver and invoice as its production schedule permits, and Buyer’s failure to accept delivery or pay for stored materials on or before the Storage, Material &amp; Delivery Escalation Date will make it subject to the Escalation Rate of two and a half (2.5%) per month for each month of delay on the unpaid portion of the Sale Price.</t>
  </si>
  <si>
    <t>FORCE MAJEURE.  If the performance of the Contract by Seller is interrupted by any cause beyond the reasonable control of Seller, whether similar or dissimilar, foreseen or unforeseen, foreseeable or unforeseeable, existing or future, Seller shall be excused from the performance of this Contract while and to the extent it is prevented from so performing by any one or more of such causes: (1) labor shortages, strikes, labor disputes, whether or not the demands of Seller shall be reasonable and within the power of either party to concede, or other inability to obtain necessary labor; (2) acts of God, including, but not limited to, epidemic, quarantine, flood, earthquake, wind, hurricane or other inclement weather; (3) changes in laws, proclamations, acts, regulations, ordinances, demands or requirements of any governmental authority; (4) explosions, accidents, sabotage, revolution or insurrection, acts of terrorism, civil commotion, blockade, embargo; (5) lack of or failure of or other inability to obtain necessary transportation, fuel, power, materials, machinery, raw materials, supplies, equipment or facilities, delays caused by other contractors, subcontractors or their subcontractors of any tier, or any materialmen or suppliers (including the suppliers of metal deck)  Any such delay shall extend the time for completion of the Contract by not less than the duration of the delay.  Additional costs incurred to complete, repair and/or replace any portion of the work due to a force majeure event shall be compensable to Seller, whether or not a change order for this work has been issued.</t>
  </si>
  <si>
    <t xml:space="preserve">STORAGE COSTS AND MATERIALS.  If the Buyer declines to accept delivery beyond the mutually agreed delivery date, a charge of $10.00 per square foot of space for storing raw and fabricated materials will be assessed to cover Seller’s storage, protection and finance costs; however, should Seller have to store materials offsite due to lack of available space, Buyer shall pay the actual storage costs incurred by Seller.  Buyer shall also be responsible for paying for all temporary protection measures for such stored materials. Additionally, if the mutually agreed delivery date exceeds the Storage, Material &amp; Delivery Escalation Date, the price shall be increased two and a half (2.5%) for each month of delay on the unpaid portion of the Sale Price beyond the Storage, Material &amp; Delivery Escalation Date. </t>
  </si>
  <si>
    <t>6.3.1</t>
  </si>
  <si>
    <t>Handling costs incurred by Seller to move materials to and/or from the storage area or to handle material of other projects to accommodate storage of this project shall be charged at $100.00 per hour.  Moving/handling equipment time will be charged at $485.00 per hour.</t>
  </si>
  <si>
    <t>6.3.2</t>
  </si>
  <si>
    <t>Buyer shall assume all risks for damage and weathering to any material stored at Buyer’s request.</t>
  </si>
  <si>
    <t>EQUITABLE ADJUSTMENT.  This Proposal is based upon: Seller’s timely receipt of Buyer’s notice to proceed; Issued for Construction Drawings, which comply with Section 3.1 of the AISC Code of Standard Practice, current edition; return of approved shop drawings as set forth in this Agreement; and prompt return of RFI responses to Seller. Seller shall be entitled to an equitable adjustment in the Contract Time and Contract Sum, including but not limited to, any increased costs of labor (including, but not limited to, rescheduling work, paint touch-up or repainting, additional handling, increases in labor or subcontract rates, etc.), overtime, and materials resulting from any change of drawings, change of schedule, acceleration, out of sequence work or delay caused by others for whom Seller is not responsible.</t>
  </si>
  <si>
    <t>DELAYS OR SUSPENSIONS OVER 30 DAYS.  To the extent the Project is suspended or delayed for a total of thirty (30) days, which days do not need to be consecutive, for causes beyond Seller’s control, Seller shall have the option to deem the Buyer in material breach, terminate the Contract, and stop work on the Project.  If Seller elects to stop work due to this material breach, Seller shall be entitled to be paid for the value of work completed to date, including, but not limited to, stored materials, detailing, material and labor escalation, work in progress and any “wind down” expenses.  In addition, Seller shall be entitled to its anticipated profit and overhead expense on the entire Contract, its unabsorbed shop overhead and expenses and its appurtenant costs and expenses, including, but not limited to, consulting and actual attorney’s fees.</t>
  </si>
  <si>
    <t>ARTICLE 7 – CHANGES:</t>
  </si>
  <si>
    <t>LIMITATION ON UNIT PRICES.  Buyer recognizes that the prices in this Agreement are based upon Seller’s determination of the material and labor required to construct the structural steel elements based upon the Contract Documents listed in the Proposal. Changes made after the date of the Proposal shall be priced based on elements of the work and shall not be subject to unit prices.</t>
  </si>
  <si>
    <t>DESIGN DRAWING CHANGES.  Upon Seller’s receipt of the Released for Construction (“RFC”) drawings or subsequent changes to the RFC drawings, Seller shall review for variations and changes (“Design Drawing Changes”) from the bid documents included with this Contract. Seller shall be entitled to an equitable adjustment in the Contract Sum or Contract Time or both, in the event of increased quantities, complexity, labor, materials, or scope shown on the RFC drawings differ from the bid documents.</t>
  </si>
  <si>
    <t>CONDITIONS PRECEDENT TO CHANGE ORDER WORK.   Seller shall suspend performance of any change, whether directed by Buyer or suggested by Seller, unless the following conditions precedent are satisfied: (1) Seller is thereafter released in writing by Buyer to perform said change, (2) Buyer and Seller shall mutually agree in writing upon an equitable adjustment in the price and/or delivery date to reflect the effect of such change,  (3) Buyer has timely paid all amounts owed under the original scope of Work in accordance with the Contract, (4) Buyer has reviewed and paid for all Buyer caused Changes within thirty (30)  days of issuance of the change order request, (5) Buyer shall continue to make payments in accordance with the Contract Documents and (6) for Owner-caused Changes.</t>
  </si>
  <si>
    <t>DIFFERING CONDITIONS.  If conditions are encountered at the site which are concealed physical conditions which differ from those indicated in any plans, specifications, reports, surveys, or other information provided to Seller, then the Contract Sum shall be equitably adjusted for such concealed or unknown conditions by Change Order upon the claim of either party.</t>
  </si>
  <si>
    <t xml:space="preserve">ESCALATION.  Seller’s Contract Sum (including but not limited to labor, material, transportation prices) are based on current prices at the time of the Proposal. Any significant price increases (meaning a price increase exceeding 1.5% of the price at time of the Proposal) in materials, transportation, labor, or other services necessary to perform the Work that occur during the period of time between the date of the Proposal and substantial completion of the Project, shall cause the Contract Sum to be equitably adjusted by an amount reasonably necessary to cover any such increase. Likewise, if the completion of the Work is extended more than six (6) months beyond the anticipated substantial completion for such Work, then the Contract Sum shall also be equitably adjusted to account for inflation and rate increases. </t>
  </si>
  <si>
    <t xml:space="preserve">ARTICLE 8 – DELIVERY &amp; FREIGHT: </t>
  </si>
  <si>
    <t>PAINT WARNING.  Structural steel will be delivered with one (1) coat standard HSS shop primer. Your special attention is called to the use of extreme care and appropriate handling equipment required during unloading, rotation girders to web vertical position, erection, and subsequent field operations.  Seller will not be responsible for any field touch-up required due to failure to properly protect the paint system after delivery F.O.B. jobsite.</t>
  </si>
  <si>
    <t>DELIVERY.  Delivery by truck will be F.O.B. destination with freight allowed to the nearest accessible point to the jobsite. Access is deemed to be an improved road that allows the truck to operate under its’ own power without jeopardizing the safe operation of the vehicle and the safety of the driver. The driver has full rights to assess the access and the right to deny delivery to the unloading point if he/she feels that he is jeopardizing his/her safety and/or the safe operation of the truck.</t>
  </si>
  <si>
    <t>FREIGHT ALLOWANCE.  The freight allowance does not include charges for unloading, switching, spotting, excess time, cartage, demurrage or other similar services, all of which will be additional charges to Buyer if performed by Seller, costs will be billed to Buyer at 120% of the costs billed to Seller.</t>
  </si>
  <si>
    <t>8.3.1</t>
  </si>
  <si>
    <t>The freight allowance for truck deliveries is based on full truckloads, should the Buyer request shipments requiring smaller loads than planned a corresponding change order will need to be issued and executed.</t>
  </si>
  <si>
    <t>8.3.2</t>
  </si>
  <si>
    <t>The freight allowance includes two (2) hours at the jobsite for unloading each truck delivery. Buyer agrees to promptly provide labor, cranes, or other equipment necessary to timely unload materials.</t>
  </si>
  <si>
    <t>8.3.3</t>
  </si>
  <si>
    <t>If Seller ships anchor bolts, bearings, embedded items, etc. in advance, Buyer will be responsible for unloading and providing a safe and secure storage of same.</t>
  </si>
  <si>
    <t>8.3.4</t>
  </si>
  <si>
    <t>Unless otherwise provided in the Proposal, truck deliveries will be weekdays, during Seller’s normal working hours. Shipments requiring after working hours delivery will be charged an additional amount of $500.00 per load.</t>
  </si>
  <si>
    <t>8.3.5</t>
  </si>
  <si>
    <t>All shipping materials used for hauling, crating, blocking, tie-downs, etc. shall remain the property of Seller. When necessary, Buyer, at no cost to Seller, must load onto Seller’s trucks all such shipping materials.</t>
  </si>
  <si>
    <t>8.3.6</t>
  </si>
  <si>
    <t>If Buyer cannot unload on the delivery day. Buyer shall be liable for (i) the expense of transporting the material back to the Seller’s plant and unloading, reloading, reshipping the material at a later date, or (ii) daily rental of shipping equipment left parked at the jobsite or staging area, and round trip expenses for Seller to retrieve all shipping equipment that was left.  Buyer will be billed 120% of the costs billed to Seller by its vender(s) for any other equipment rented or leased to deliver the material.</t>
  </si>
  <si>
    <t>8.3.7</t>
  </si>
  <si>
    <t xml:space="preserve">In the event Buyer is unable to unload the material from Seller’s equipment, Seller shall at its sole discretion determine whether equipment will be left at the jobsite, or the material returned to Seller’s facility. Charges arising under this Section shall be invoiced weekly and payment on such invoices shall be due in seven (7) days. </t>
  </si>
  <si>
    <t>ARTICLE 9 – APPROVAL OF DRAWINGS:</t>
  </si>
  <si>
    <t>APPROVAL OF SHOP DRAWINGS.  Shop drawings will be prepared by Seller or its agents with all field measurements to be furnished by the Buyer. Written approval of shop drawings by the Buyer is required before fabrication. Shop drawings not approved within 14 calendar days will be cause for a time extension to the delivery schedule of fabricated material by Seller.</t>
  </si>
  <si>
    <t xml:space="preserve">MEANING OF APPROVAL.  When shop drawings prepared by Seller or its agents have been approved by the Buyer, such drawings shall be deemed a correct interpretation of the work to be performed and shall relieve Seller of any responsibility for defects or deficiencies arising out of work performed by Seller in accordance with such drawings.  </t>
  </si>
  <si>
    <t>INDEMNIFICATION.  If any material shall be manufactured and/or sold by Seller to meet the Buyer’s particular specifications or requirements, the Buyer agrees to save Seller harmless against all claims for actual or alleged infringement of any United States or foreign patent and to defend any suits or actions which may be brought against Seller for any such infringement.</t>
  </si>
  <si>
    <t>NO DESIGN RESPONSIBILITY.  Seller excludes any design responsibility required by a registered engineer. Seller will prepare shop drawings in accordance with the A.I.S.C. Steel Specification Manual, current edition. Seller excludes stamping shop drawings and connection calculations by a registered engineer unless expressly listed on the face of the proposal.</t>
  </si>
  <si>
    <t>ARTICLE 10 – INSPECTION &amp; TESTING/TOLERANCES:</t>
  </si>
  <si>
    <t xml:space="preserve">DELIVERED MATERIALS.  Buyer shall inspect materials upon receipt for condition and completeness against the weight and shipping list, and if there is damage, a shortage, or nonconformance, Buyer may not return materials but note the damage, shortage, or nonconformance on the weight and shipping list and file a written claim with the carrier and Seller within five (5) days; otherwise, conformance, quality, and completeness shall be conclusively presumed and the Buyer will be deemed to have waived all claims.  Seller will remedy damage or nonconformance by delivery of undamaged or conforming goods or by arranging for field repair, at its option, in which event Seller’s delivery obligations will be extended for a reasonable period of time. </t>
  </si>
  <si>
    <t>TOLERANCES.  All materials furnished or manufactured by Seller are subject to standard tolerances for variations, unless modified by the Contract Documents.</t>
  </si>
  <si>
    <t>NO LIABILITY.  Seller shall not be responsible for the correction of structural details prepared by others. Minor shop inaccuracies which are customarily corrected in the field shall not be subject to back charges. Seller shall not be responsible for damage to paint due to handling or exposure or other causes beyond the Seller’s control.</t>
  </si>
  <si>
    <t xml:space="preserve">INSPECTION COSTS.   Seller shall not be liable for charges by others for inspection and testing of material covered herein unless provided otherwise. </t>
  </si>
  <si>
    <t>ARTICLE 11 – CLAIMS AND DISPUTE RESOLUTION:</t>
  </si>
  <si>
    <t>NOTICE.  Email communication sent from Seller to Buyer shall be considered official notification for items such as, but not limited to, changes, delays, suspension, and claims.</t>
  </si>
  <si>
    <t xml:space="preserve">MEDIATION.  Any claims arising out of or related to this contract shall be subject to mediation. Mediation shall be a condition precedent to arbitration. The request may be made concurrently with the filing of a demand for arbitration but, in such event, mediation shall proceed in advance of arbitration, which shall be stayed pending mediation for a period of 60 days from the date of filing, unless stayed for a longer period by agreement of the parties or court order.  The parties shall share the mediator’s fee and any filing fees equally. The mediation shall be held in Findlay, Ohio, or at such other location as Seller may designate. Mediation shall be completed within 60 days of a demand for mediation. </t>
  </si>
  <si>
    <t>ARBITRATION.  All claims not resolved in mediation shall be subject to binding arbitration. Arbitration shall be governed by the Construction Industry Arbitration Rules of the American Arbitration Association. The parties shall mutually agree upon an arbitrator who is a construction lawyer with at least ten (10) years of construction law experience. The arbitrator shall require exchange by the parties of documents relevant to the issues raised by any claim, defense, or counterclaim on which the producing party may rely in support of or in opposition to any claim, defense, or counterclaim, with due regard for eliminating undue burden and expense and the expedited and lower cost nature of arbitration.  At the request of a party, the arbitrator may at his or her discretion order the deposition of witnesses; however, depositions shall be limited to a maximum of three (3) depositions per party, each a maximum of six (6) hours duration, unless otherwise mutually agreed to by the parties.  Any arbitration arising out of or relating to the Proposal may include, by consolidation or joinder, such additional persons or entities engaged or retained by contract in connection with this project who are signatories to arbitration provisions in agreements with one or more parties to the Proposal, provided however, that Seller shall not be unduly burdened by allocation of cost for such proceeding that is disproportionate to its relative matter in dispute, and further provided that the participation does not expand the obligations of participation beyond those expressly set out herein.  By way of illustration only, and not limitation, Seller shall not be required to participate in expansive discovery of documents, deposition testimony or other costly and timely procedures merely because of its participation in such joint proceeding. The arbitration shall be held in Findlay, Ohio, or at such other location as Seller may designate. For disputes under $1,000,000.00, the parties agree that the arbitration shall be concluded within 180 days of the arbitration demand. For disputes over $1,000,00.00, the parties agree that the arbitration shall be concluded within one (1) year of the arbitration demand.</t>
  </si>
  <si>
    <t xml:space="preserve">CHOICE OF LAW.  The Contract shall be interpreted in accordance with the internal laws of the State where the Project is located (exclusive of its provisions regarding conflicts of laws). </t>
  </si>
  <si>
    <t>ARTICLE 12 – MISCELLANEOUS PROVISIONS:</t>
  </si>
  <si>
    <t xml:space="preserve">TERMINATION.  If this Contract is terminated for any reason, Seller shall be entitled to be paid for the value of work completed to date, including, but not limited to, stored materials, detailing, material and labor escalation, and work in progress. In addition, Seller shall be entitled to its anticipated profit and overhead expense on the entire Contract, its unabsorbed shop overhead and expenses, and its appurtenant costs and expenses, including, but not limited to, consulting and actual attorney’s fees. </t>
  </si>
  <si>
    <t xml:space="preserve">HEADINGS.  The headings of these articles are solely for the convenience of the parties hereto, and, if there is any conflict between such headings and the rest of the Contract, the Contract shall control. </t>
  </si>
  <si>
    <t>ASSIGNMENT.  Buyer shall not assign, sell or, in any way, transfer its interest in this Contract without first obtaining prior written consent of Seller.</t>
  </si>
  <si>
    <t>SUBCONTRACTS.  Seller reserves the right, without notice to or written permission of Buyer, to subcontract any portion of the Contract, or assign any rights under this Contract, when it considers such action advisable.</t>
  </si>
  <si>
    <t>TAXES.  Except as otherwise stated in the Proposal, any tax under any present or future law, either state, federal or local including any import duties, taxes, charges or surcharges which may be imposed in the manufacture, shipment, sale, lease, possession, ownership or use of the work or any other similar tax imposed, shall be paid by Buyer, whether the same be determined or determinable at the time of completion and acceptance of the Contract or subsequent thereto. Buyer shall promptly reimburse Seller for such taxes (and related costs) arising out of the work for which the applicable law imposes responsibility for payment on Seller.</t>
  </si>
  <si>
    <t>CONFIDENTIAL INFORMATION.  Buyer acknowledges that all trade secrets, designs, shop drawings, engineering data, specifications and other Confidential Information (as defined below) which may be disclosed to it by Seller shall at all times, both during and after expiration or termination of this Contract for any reason, remain the exclusive property of Seller and that Buyer shall not acquire any proprietary interest whatsoever therein.  “Confidential Information” means all knowledge and information disclosed by Seller to Buyer orally or in writing, or acquired by Buyer through observation, regarding Seller’s Products, technology, inventions, formulas, know-how, services, forecasts, sales methods, customer lists, customer usages and requirements, financial information, business plans, strategies and future business relationships, disclosed with the exception of such information which:  (i) was already part of the public domain at the time of the disclosure by Seller;  (ii) becomes part of the public domain through no fault of Buyer (but only after and only to the extent that it is published or otherwise becomes part of the public domain);  (iii) was in Buyer’s possession prior to the disclosure by Seller and was not acquired, directly or indirectly, from Seller or from a third party who was under a continuing obligation of confidence to Seller;  or (iv) is received (after the disclosure by Seller) by Buyer from a third party who did not require Buyer to hold it in confidence and did not acquire it directly or indirectly from Seller under a continuing obligation of confidence.  Except as necessary to perform its duties under this Contract, Buyer shall not use or disclose any of such Confidential Information but shall use the greater of the degree of care required by this Contract or the same degree of care given its own trades secrets and confidential information.  Upon expiration or termination of this Contract for any reason, Buyer shall, within 15 days, surrender to Seller all plans, drawings, specifications, sketches, pictures, films, tapes, computer disks, literature, samples, documents, other tangible objects and all copies thereof relating to trade secrets and other Confidential Information and all of Seller’s property.  Buyer shall be permitted to destroy rather than return all analyses, extracts, and summaries prepared by Buyer, which contain Confidential Information, and such destruction shall be certified in writing to Seller by an authorized officer of Buyer who has supervised such destruction.  Nothing in this Contract shall be construed to limit or negate the common or statutory law of torts or trade secrets where it provides Seller with broader protection than that provided herein.</t>
  </si>
  <si>
    <t xml:space="preserve">SURVIVAL.  The provisions found in these Terms and Conditions of Sale and any other provision the performance of or effectiveness of which naturally survives, shall survive expiration or termination of the parties’ agreement for any reason. </t>
  </si>
  <si>
    <t xml:space="preserve"> INVALIDITY/WAIVERS/REMEDIES:  The invalidity in whole or in part of any condition of this instrument shall not affect the validity of the other conditions. The remedies herein reserved shall be cumulative and additional to any other remedies in law or in equity. No waiver of a breach of any provision hereof shall constitute a waiver of any other breach or of any other provision.</t>
  </si>
  <si>
    <t>COPYRIGHT.  Any copyright or other property or proprietary rights owned by Seller shall remain the exclusive property of Seller.</t>
  </si>
  <si>
    <t>DRAFTING PARTY.  Should any provision of this Contract require interpretation or construction, each Party acknowledges participation in the negotiation of this Contract and agrees that no provision of this Contract shall be construed against or interpreted to the disadvantage of any party hereto by any court or other governmental or judicial authority by reason of such party having or being deemed to have structured, dictated, or drafted such provision.</t>
  </si>
  <si>
    <t xml:space="preserve">ENTIRE AGREEMENT.  This instrument sets forth the entire agreement between the parties and supersedes all prior representations, understandings, or agreements of the parties, whether written or oral. The Agreement can be modified only in writing signed by both parties. </t>
  </si>
  <si>
    <t>Quote #</t>
  </si>
  <si>
    <t>Vendor:</t>
  </si>
  <si>
    <t>01-970</t>
  </si>
  <si>
    <t>Procore Pay/Textura Fee Including Sales Tax</t>
  </si>
  <si>
    <t>05-010</t>
  </si>
  <si>
    <t>05-011</t>
  </si>
  <si>
    <t>05-012</t>
  </si>
  <si>
    <t>05-105</t>
  </si>
  <si>
    <t>05-110</t>
  </si>
  <si>
    <t>Hrs</t>
  </si>
  <si>
    <t>05-121</t>
  </si>
  <si>
    <t>05-122</t>
  </si>
  <si>
    <t>05-124</t>
  </si>
  <si>
    <t>05-210</t>
  </si>
  <si>
    <t>Joist and Deck</t>
  </si>
  <si>
    <t>05-301</t>
  </si>
  <si>
    <t>05-302</t>
  </si>
  <si>
    <t>05-303</t>
  </si>
  <si>
    <t>05-305</t>
  </si>
  <si>
    <t>05-306</t>
  </si>
  <si>
    <t>05-401</t>
  </si>
  <si>
    <t>05-500</t>
  </si>
  <si>
    <t>05-510</t>
  </si>
  <si>
    <t xml:space="preserve">Misc. Material  </t>
  </si>
  <si>
    <t>05-600</t>
  </si>
  <si>
    <t>05-601</t>
  </si>
  <si>
    <t>05-602</t>
  </si>
  <si>
    <t>05-999</t>
  </si>
  <si>
    <t>17-994</t>
  </si>
  <si>
    <t>Insurance</t>
  </si>
  <si>
    <t>17-996</t>
  </si>
  <si>
    <t>Grand Total:</t>
  </si>
  <si>
    <t>05-106</t>
  </si>
  <si>
    <t>Allowance(s)</t>
  </si>
  <si>
    <t>Total Profit for Project:</t>
  </si>
  <si>
    <t>Difference from Proposal Amount:</t>
  </si>
  <si>
    <t>05-123</t>
  </si>
  <si>
    <t>Shop Priming (Labor &amp; Material)</t>
  </si>
  <si>
    <t>05-400</t>
  </si>
  <si>
    <t>Cost Code:</t>
  </si>
  <si>
    <t>Bill Holfreter</t>
  </si>
  <si>
    <t>bholtfreter@hancocksteel.com</t>
  </si>
  <si>
    <t>phostetter@hancocksteel.com</t>
  </si>
  <si>
    <t>Bollards</t>
  </si>
  <si>
    <t>Anchor Bolts:</t>
  </si>
  <si>
    <t>Anchor Bolts</t>
  </si>
  <si>
    <t>Steel</t>
  </si>
  <si>
    <t>Plate</t>
  </si>
  <si>
    <t>Outsourced Misc. Material &amp; Erection</t>
  </si>
  <si>
    <t>$/Unit:</t>
  </si>
  <si>
    <t>Outsourced Materials, Fabrication &amp; Erection:</t>
  </si>
  <si>
    <t>Totals:</t>
  </si>
  <si>
    <t>Material ($):</t>
  </si>
  <si>
    <t xml:space="preserve">N/A </t>
  </si>
  <si>
    <t>Procore Pay/Textura:</t>
  </si>
  <si>
    <t>Total Cost:</t>
  </si>
  <si>
    <t>Professional Liability:</t>
  </si>
  <si>
    <t>Additional coverage required</t>
  </si>
  <si>
    <t>Insurance:</t>
  </si>
  <si>
    <t>Recap Subtotal:</t>
  </si>
  <si>
    <t>Additional Costs:</t>
  </si>
  <si>
    <t>General Liability:</t>
  </si>
  <si>
    <t>Umbrella:</t>
  </si>
  <si>
    <t>Per year; up to $2M; job scope structural steel, deck, joist, beams, handrails, ladders; Up to $50K; policy deductible $2,500; Over $2M obtain cost from USI Insurance</t>
  </si>
  <si>
    <t>LEED Level / 
Government Job:</t>
  </si>
  <si>
    <t>Tax County/Rate:</t>
  </si>
  <si>
    <t>Performance / Payment Bond:</t>
  </si>
  <si>
    <t>Recap Total:</t>
  </si>
  <si>
    <t>Project County/Rate:</t>
  </si>
  <si>
    <t>*Rates effective 03/26/26</t>
  </si>
  <si>
    <t>Jan. '26</t>
  </si>
  <si>
    <t>Sales tax rates are subject to change. Ask Anne or Alexia to verify the current rate before quoting to a customer.</t>
  </si>
  <si>
    <t>Change Date:</t>
  </si>
  <si>
    <t>Enter total amount above from J&amp;D's proposal.</t>
  </si>
  <si>
    <t>Joist &amp; Deck cost (mark-up included above)</t>
  </si>
  <si>
    <t>Total Price (Excluding Sales Tax):</t>
  </si>
  <si>
    <t>Fabrication:</t>
  </si>
  <si>
    <t>($):</t>
  </si>
  <si>
    <t xml:space="preserve">  + If below dates are not met for any reason outside of Hancock's (Seller) control, additonal costs incurred will be 
      passed onto Customer (Buyer).</t>
  </si>
  <si>
    <t>- $2,000,000 claim/aggregate Professional Liability insurance limit included in proposal. Completed operations not
  included.</t>
  </si>
  <si>
    <t>- Shop drawings submittal schedule will be established upon executed contract with a maximum 14-day approval. turnaround.</t>
  </si>
  <si>
    <t>Total Price (Including Sales Tax):</t>
  </si>
  <si>
    <t>Fabricated, Delivered, and Installed</t>
  </si>
  <si>
    <t>(Name &amp; Title)                                  (Date)</t>
  </si>
  <si>
    <t>(Name &amp; Title)                                                             (Date)</t>
  </si>
  <si>
    <t>Paint Surface (sq. ft.):</t>
  </si>
  <si>
    <t>Structural Labor (hrs.):</t>
  </si>
  <si>
    <t>Outsourced Labor (hrs.):</t>
  </si>
  <si>
    <t>Misc Labor (hrs.):</t>
  </si>
  <si>
    <t>Galvanizing (lbs.):</t>
  </si>
  <si>
    <t>Galv Freight (del.):</t>
  </si>
  <si>
    <t>Jobsite Freight (del.):</t>
  </si>
  <si>
    <t>Structural Labor Rate ($/hr.):</t>
  </si>
  <si>
    <t>Outsourced Labor Rate ($/hr.):</t>
  </si>
  <si>
    <t>Misc. Labor Rate ($/hr.):</t>
  </si>
  <si>
    <t xml:space="preserve"> Paint($/gal.):</t>
  </si>
  <si>
    <t>Galvanizing ($/lb.):</t>
  </si>
  <si>
    <t>Galv Freight ($/del.):</t>
  </si>
  <si>
    <t>Jobsite Freight ($/del.):</t>
  </si>
  <si>
    <t>- With the tarriffs in place, review clauses 6.2 and 7.5 in the following terms and conditions.</t>
  </si>
  <si>
    <t>- If Owner Controlled Insurance Program (OCIP) is required on this project, it only applies to work completed onsite.</t>
  </si>
  <si>
    <t>Sales tax calculated on all except Erection, J&amp;D cost, Procore Pay/Textura fees &amp; Bond cost (if applicable)</t>
  </si>
  <si>
    <t>Includes Recap Subtotal, Textura/Procore Pay with OH&amp;P and Sales Tax</t>
  </si>
  <si>
    <t>Shop Hrs.</t>
  </si>
  <si>
    <t>Estimate #</t>
  </si>
  <si>
    <t>E26-</t>
  </si>
  <si>
    <t>List of all sub quotes:</t>
  </si>
  <si>
    <t>Justin Chagnon</t>
  </si>
  <si>
    <t>Are there beams with Camber</t>
  </si>
  <si>
    <t xml:space="preserve">Erected or FOB </t>
  </si>
  <si>
    <t>Who's the Erector?</t>
  </si>
  <si>
    <t>Erected</t>
  </si>
  <si>
    <t>FOB</t>
  </si>
  <si>
    <t>Company Name</t>
  </si>
  <si>
    <t>Embeds</t>
  </si>
  <si>
    <t>Sequencing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</si>
</sst>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7" formatCode="&quot;$&quot;#,##0.00_);\(&quot;$&quot;#,##0.00\)"/>
    <numFmt numFmtId="42" formatCode="_(&quot;$&quot;* #,##0_);_(&quot;$&quot;* \(#,##0\);_(&quot;$&quot;* &quot;-&quot;_);_(@_)"/>
    <numFmt numFmtId="44" formatCode="_(&quot;$&quot;* #,##0.00_);_(&quot;$&quot;* \(#,##0.00\);_(&quot;$&quot;* &quot;-&quot;??_);_(@_)"/>
    <numFmt numFmtId="164" formatCode="&quot;$&quot;#,##0.00"/>
    <numFmt numFmtId="165" formatCode="0.0"/>
    <numFmt numFmtId="166" formatCode="#,##0.0"/>
    <numFmt numFmtId="167" formatCode="&quot;$&quot;#,##0.0000000"/>
    <numFmt numFmtId="168" formatCode="_(&quot;$&quot;* #,##0.000_);_(&quot;$&quot;* \(#,##0.000\);_(&quot;$&quot;* &quot;-&quot;???_);_(@_)"/>
    <numFmt numFmtId="169" formatCode="&quot;$&quot;#,##0.00000_);\(&quot;$&quot;#,##0.00000\)"/>
    <numFmt numFmtId="170" formatCode="&quot;$&quot;#,##0.0000_);\(&quot;$&quot;#,##0.0000\)"/>
    <numFmt numFmtId="171" formatCode="mm/dd/yy;@"/>
    <numFmt numFmtId="172" formatCode="&quot;$&quot;#,##0"/>
    <numFmt numFmtId="173" formatCode="[$-409]mmmm\-yy;@"/>
    <numFmt numFmtId="174" formatCode="_(&quot;$&quot;* #,##0.0000_);_(&quot;$&quot;* \(#,##0.0000\);_(&quot;$&quot;* &quot;-&quot;????_);_(@_)"/>
    <numFmt numFmtId="175" formatCode="&quot;$&quot;#,##0.0000"/>
  </numFmts>
  <fonts count="47" x14ac:knownFonts="1">
    <font>
      <sz val="12"/>
      <color theme="1"/>
      <name val="Times New Roman"/>
      <family val="2"/>
    </font>
    <font>
      <sz val="12"/>
      <color theme="1"/>
      <name val="Times New Roman"/>
      <family val="2"/>
    </font>
    <font>
      <u/>
      <sz val="12"/>
      <color theme="10"/>
      <name val="Times New Roman"/>
      <family val="2"/>
    </font>
    <font>
      <sz val="12"/>
      <name val="Times New Roman"/>
      <family val="1"/>
    </font>
    <font>
      <b/>
      <sz val="12"/>
      <name val="Times New Roman"/>
      <family val="1"/>
    </font>
    <font>
      <b/>
      <sz val="9"/>
      <color indexed="81"/>
      <name val="Tahoma"/>
      <family val="2"/>
    </font>
    <font>
      <sz val="9"/>
      <color indexed="81"/>
      <name val="Tahoma"/>
      <family val="2"/>
    </font>
    <font>
      <b/>
      <sz val="12"/>
      <color theme="1"/>
      <name val="Times New Roman"/>
      <family val="1"/>
    </font>
    <font>
      <b/>
      <sz val="26"/>
      <name val="Times New Roman"/>
      <family val="1"/>
    </font>
    <font>
      <sz val="11"/>
      <color theme="1"/>
      <name val="Times New Roman"/>
      <family val="1"/>
    </font>
    <font>
      <sz val="11"/>
      <name val="Times New Roman"/>
      <family val="1"/>
    </font>
    <font>
      <sz val="12"/>
      <color theme="1"/>
      <name val="Times New Roman"/>
      <family val="1"/>
    </font>
    <font>
      <sz val="10"/>
      <color indexed="8"/>
      <name val="Arial"/>
      <family val="2"/>
    </font>
    <font>
      <b/>
      <sz val="26"/>
      <color indexed="8"/>
      <name val="Times New Roman"/>
      <family val="1"/>
    </font>
    <font>
      <b/>
      <sz val="12"/>
      <color indexed="8"/>
      <name val="Times New Roman"/>
      <family val="1"/>
    </font>
    <font>
      <sz val="12"/>
      <color indexed="8"/>
      <name val="Times New Roman"/>
      <family val="1"/>
    </font>
    <font>
      <b/>
      <sz val="20"/>
      <color indexed="8"/>
      <name val="Times New Roman"/>
      <family val="1"/>
    </font>
    <font>
      <sz val="20"/>
      <color theme="1"/>
      <name val="Times New Roman"/>
      <family val="1"/>
    </font>
    <font>
      <b/>
      <sz val="11"/>
      <color theme="1"/>
      <name val="Times New Roman"/>
      <family val="1"/>
    </font>
    <font>
      <b/>
      <sz val="11"/>
      <name val="Times New Roman"/>
      <family val="1"/>
    </font>
    <font>
      <b/>
      <sz val="12"/>
      <color theme="0"/>
      <name val="Times New Roman"/>
      <family val="1"/>
    </font>
    <font>
      <u/>
      <sz val="12"/>
      <color rgb="FF0000FF"/>
      <name val="Times New Roman"/>
      <family val="1"/>
    </font>
    <font>
      <sz val="11"/>
      <color theme="1"/>
      <name val="Aptos Narrow"/>
      <family val="2"/>
      <scheme val="minor"/>
    </font>
    <font>
      <sz val="9"/>
      <name val="Times New Roman"/>
      <family val="1"/>
    </font>
    <font>
      <sz val="11.5"/>
      <name val="Times New Roman"/>
      <family val="1"/>
    </font>
    <font>
      <b/>
      <sz val="11.5"/>
      <name val="Times New Roman"/>
      <family val="1"/>
    </font>
    <font>
      <b/>
      <sz val="11"/>
      <color theme="1"/>
      <name val="Aptos Narrow"/>
      <family val="2"/>
      <scheme val="minor"/>
    </font>
    <font>
      <sz val="11.5"/>
      <name val="Palatino Linotype"/>
      <family val="1"/>
    </font>
    <font>
      <b/>
      <sz val="14"/>
      <name val="Times New Roman"/>
      <family val="1"/>
    </font>
    <font>
      <sz val="14"/>
      <name val="Times New Roman"/>
      <family val="1"/>
    </font>
    <font>
      <b/>
      <sz val="14"/>
      <color rgb="FFFF0000"/>
      <name val="Times New Roman"/>
      <family val="1"/>
    </font>
    <font>
      <sz val="11"/>
      <color rgb="FFFF0000"/>
      <name val="Times New Roman"/>
      <family val="1"/>
    </font>
    <font>
      <sz val="10"/>
      <name val="Times New Roman"/>
      <family val="1"/>
    </font>
    <font>
      <u/>
      <sz val="11.5"/>
      <color rgb="FF0000FF"/>
      <name val="Times New Roman"/>
      <family val="1"/>
    </font>
    <font>
      <b/>
      <sz val="15"/>
      <name val="Times New Roman"/>
      <family val="1"/>
    </font>
    <font>
      <sz val="16"/>
      <name val="Times New Roman"/>
      <family val="1"/>
    </font>
    <font>
      <sz val="8"/>
      <name val="Times New Roman"/>
      <family val="1"/>
    </font>
    <font>
      <sz val="6"/>
      <name val="Times New Roman"/>
      <family val="1"/>
    </font>
    <font>
      <b/>
      <sz val="8"/>
      <name val="Times New Roman"/>
      <family val="1"/>
    </font>
    <font>
      <sz val="8"/>
      <color theme="1"/>
      <name val="Times New Roman"/>
      <family val="1"/>
    </font>
    <font>
      <b/>
      <u/>
      <sz val="12"/>
      <name val="Times New Roman"/>
      <family val="1"/>
    </font>
    <font>
      <i/>
      <sz val="12"/>
      <name val="Times New Roman"/>
      <family val="1"/>
    </font>
    <font>
      <i/>
      <sz val="12"/>
      <color theme="1"/>
      <name val="Times New Roman"/>
      <family val="1"/>
    </font>
    <font>
      <b/>
      <sz val="20"/>
      <name val="Times New Roman"/>
      <family val="1"/>
    </font>
    <font>
      <b/>
      <sz val="12"/>
      <color rgb="FF0000FF"/>
      <name val="Times New Roman"/>
      <family val="1"/>
    </font>
    <font>
      <b/>
      <sz val="14"/>
      <color rgb="FF7030A0"/>
      <name val="Times New Roman"/>
      <family val="1"/>
    </font>
    <font>
      <sz val="14"/>
      <color rgb="FF7030A0"/>
      <name val="Times New Roman"/>
      <family val="1"/>
    </font>
  </fonts>
  <fills count="10">
    <fill>
      <patternFill patternType="none"/>
    </fill>
    <fill>
      <patternFill patternType="gray125"/>
    </fill>
    <fill>
      <patternFill patternType="solid">
        <fgColor theme="3" tint="0.749992370372631"/>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FF2CC"/>
        <bgColor indexed="64"/>
      </patternFill>
    </fill>
    <fill>
      <patternFill patternType="solid">
        <fgColor rgb="FF7030A0"/>
        <bgColor indexed="64"/>
      </patternFill>
    </fill>
    <fill>
      <patternFill patternType="solid">
        <fgColor theme="8" tint="0.79998168889431442"/>
        <bgColor indexed="64"/>
      </patternFill>
    </fill>
    <fill>
      <patternFill patternType="solid">
        <fgColor rgb="FFCCFF99"/>
        <bgColor indexed="64"/>
      </patternFill>
    </fill>
    <fill>
      <patternFill patternType="solid">
        <fgColor rgb="FFFF5050"/>
        <bgColor indexed="64"/>
      </patternFill>
    </fill>
  </fills>
  <borders count="126">
    <border>
      <left/>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style="medium">
        <color indexed="64"/>
      </left>
      <right/>
      <top style="thin">
        <color indexed="64"/>
      </top>
      <bottom style="thin">
        <color indexed="64"/>
      </bottom>
      <diagonal/>
    </border>
    <border>
      <left/>
      <right/>
      <top style="thin">
        <color auto="1"/>
      </top>
      <bottom style="thin">
        <color auto="1"/>
      </bottom>
      <diagonal/>
    </border>
    <border>
      <left/>
      <right style="medium">
        <color indexed="64"/>
      </right>
      <top style="thin">
        <color auto="1"/>
      </top>
      <bottom style="thin">
        <color indexed="64"/>
      </bottom>
      <diagonal/>
    </border>
    <border>
      <left style="medium">
        <color indexed="64"/>
      </left>
      <right/>
      <top/>
      <bottom style="medium">
        <color indexed="64"/>
      </bottom>
      <diagonal/>
    </border>
    <border>
      <left/>
      <right/>
      <top/>
      <bottom style="medium">
        <color auto="1"/>
      </bottom>
      <diagonal/>
    </border>
    <border>
      <left/>
      <right/>
      <top style="thin">
        <color auto="1"/>
      </top>
      <bottom style="medium">
        <color auto="1"/>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indexed="64"/>
      </left>
      <right/>
      <top/>
      <bottom style="thin">
        <color indexed="64"/>
      </bottom>
      <diagonal/>
    </border>
    <border>
      <left/>
      <right/>
      <top/>
      <bottom style="thin">
        <color auto="1"/>
      </bottom>
      <diagonal/>
    </border>
    <border>
      <left/>
      <right/>
      <top style="thin">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auto="1"/>
      </right>
      <top style="medium">
        <color indexed="64"/>
      </top>
      <bottom/>
      <diagonal/>
    </border>
    <border>
      <left style="thin">
        <color indexed="64"/>
      </left>
      <right style="thin">
        <color auto="1"/>
      </right>
      <top/>
      <bottom style="thin">
        <color auto="1"/>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right style="medium">
        <color indexed="64"/>
      </right>
      <top/>
      <bottom style="thin">
        <color auto="1"/>
      </bottom>
      <diagonal/>
    </border>
    <border>
      <left style="thin">
        <color indexed="64"/>
      </left>
      <right/>
      <top style="medium">
        <color indexed="64"/>
      </top>
      <bottom/>
      <diagonal/>
    </border>
    <border>
      <left style="thin">
        <color indexed="64"/>
      </left>
      <right/>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auto="1"/>
      </left>
      <right style="thin">
        <color auto="1"/>
      </right>
      <top style="thin">
        <color auto="1"/>
      </top>
      <bottom/>
      <diagonal/>
    </border>
    <border>
      <left style="medium">
        <color indexed="64"/>
      </left>
      <right style="thin">
        <color indexed="64"/>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auto="1"/>
      </left>
      <right/>
      <top style="thin">
        <color auto="1"/>
      </top>
      <bottom/>
      <diagonal/>
    </border>
    <border>
      <left/>
      <right style="medium">
        <color indexed="64"/>
      </right>
      <top style="thin">
        <color auto="1"/>
      </top>
      <bottom/>
      <diagonal/>
    </border>
    <border>
      <left style="thin">
        <color indexed="64"/>
      </left>
      <right style="thin">
        <color indexed="64"/>
      </right>
      <top style="thin">
        <color indexed="64"/>
      </top>
      <bottom style="medium">
        <color auto="1"/>
      </bottom>
      <diagonal/>
    </border>
    <border>
      <left style="thin">
        <color indexed="64"/>
      </left>
      <right style="medium">
        <color auto="1"/>
      </right>
      <top style="medium">
        <color indexed="64"/>
      </top>
      <bottom style="thin">
        <color indexed="64"/>
      </bottom>
      <diagonal/>
    </border>
    <border>
      <left style="thin">
        <color indexed="64"/>
      </left>
      <right style="medium">
        <color auto="1"/>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auto="1"/>
      </right>
      <top/>
      <bottom style="thin">
        <color indexed="64"/>
      </bottom>
      <diagonal/>
    </border>
    <border>
      <left style="thin">
        <color auto="1"/>
      </left>
      <right/>
      <top/>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top/>
      <bottom/>
      <diagonal/>
    </border>
    <border>
      <left style="medium">
        <color auto="1"/>
      </left>
      <right style="medium">
        <color auto="1"/>
      </right>
      <top style="medium">
        <color auto="1"/>
      </top>
      <bottom/>
      <diagonal/>
    </border>
    <border>
      <left/>
      <right style="medium">
        <color indexed="64"/>
      </right>
      <top/>
      <bottom style="medium">
        <color auto="1"/>
      </bottom>
      <diagonal/>
    </border>
    <border>
      <left style="thick">
        <color rgb="FF7030A0"/>
      </left>
      <right/>
      <top style="thick">
        <color rgb="FF7030A0"/>
      </top>
      <bottom/>
      <diagonal/>
    </border>
    <border>
      <left/>
      <right/>
      <top style="thick">
        <color rgb="FF7030A0"/>
      </top>
      <bottom/>
      <diagonal/>
    </border>
    <border>
      <left/>
      <right style="thick">
        <color rgb="FF7030A0"/>
      </right>
      <top style="thick">
        <color rgb="FF7030A0"/>
      </top>
      <bottom/>
      <diagonal/>
    </border>
    <border>
      <left style="thick">
        <color rgb="FF7030A0"/>
      </left>
      <right/>
      <top/>
      <bottom style="thin">
        <color auto="1"/>
      </bottom>
      <diagonal/>
    </border>
    <border>
      <left style="thick">
        <color rgb="FF7030A0"/>
      </left>
      <right style="thin">
        <color indexed="64"/>
      </right>
      <top style="thin">
        <color indexed="64"/>
      </top>
      <bottom style="thin">
        <color indexed="64"/>
      </bottom>
      <diagonal/>
    </border>
    <border>
      <left/>
      <right style="thick">
        <color rgb="FF7030A0"/>
      </right>
      <top style="thin">
        <color auto="1"/>
      </top>
      <bottom style="thin">
        <color auto="1"/>
      </bottom>
      <diagonal/>
    </border>
    <border>
      <left style="thick">
        <color rgb="FF7030A0"/>
      </left>
      <right/>
      <top style="thin">
        <color theme="1"/>
      </top>
      <bottom style="thin">
        <color theme="1"/>
      </bottom>
      <diagonal/>
    </border>
    <border>
      <left/>
      <right/>
      <top style="thin">
        <color theme="1"/>
      </top>
      <bottom style="thin">
        <color theme="1"/>
      </bottom>
      <diagonal/>
    </border>
    <border>
      <left/>
      <right style="thick">
        <color rgb="FF7030A0"/>
      </right>
      <top style="thin">
        <color theme="1"/>
      </top>
      <bottom style="thin">
        <color theme="1"/>
      </bottom>
      <diagonal/>
    </border>
    <border>
      <left style="medium">
        <color auto="1"/>
      </left>
      <right style="medium">
        <color auto="1"/>
      </right>
      <top/>
      <bottom style="thin">
        <color auto="1"/>
      </bottom>
      <diagonal/>
    </border>
    <border>
      <left style="medium">
        <color auto="1"/>
      </left>
      <right style="medium">
        <color auto="1"/>
      </right>
      <top style="thin">
        <color auto="1"/>
      </top>
      <bottom style="medium">
        <color auto="1"/>
      </bottom>
      <diagonal/>
    </border>
    <border>
      <left style="thick">
        <color rgb="FF7030A0"/>
      </left>
      <right/>
      <top style="thin">
        <color indexed="64"/>
      </top>
      <bottom/>
      <diagonal/>
    </border>
    <border>
      <left/>
      <right style="thick">
        <color rgb="FF7030A0"/>
      </right>
      <top style="thin">
        <color auto="1"/>
      </top>
      <bottom/>
      <diagonal/>
    </border>
    <border>
      <left style="thick">
        <color rgb="FF7030A0"/>
      </left>
      <right/>
      <top style="thin">
        <color indexed="64"/>
      </top>
      <bottom style="thin">
        <color auto="1"/>
      </bottom>
      <diagonal/>
    </border>
    <border>
      <left/>
      <right style="medium">
        <color auto="1"/>
      </right>
      <top style="medium">
        <color indexed="64"/>
      </top>
      <bottom style="thin">
        <color indexed="64"/>
      </bottom>
      <diagonal/>
    </border>
    <border>
      <left/>
      <right style="thin">
        <color auto="1"/>
      </right>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indexed="64"/>
      </right>
      <top/>
      <bottom/>
      <diagonal/>
    </border>
    <border>
      <left style="thin">
        <color indexed="64"/>
      </left>
      <right/>
      <top style="medium">
        <color indexed="64"/>
      </top>
      <bottom style="thin">
        <color indexed="64"/>
      </bottom>
      <diagonal/>
    </border>
    <border>
      <left/>
      <right/>
      <top/>
      <bottom style="thick">
        <color auto="1"/>
      </bottom>
      <diagonal/>
    </border>
    <border>
      <left/>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right/>
      <top style="thick">
        <color indexed="64"/>
      </top>
      <bottom style="thick">
        <color indexed="64"/>
      </bottom>
      <diagonal/>
    </border>
    <border>
      <left style="thick">
        <color auto="1"/>
      </left>
      <right/>
      <top style="thick">
        <color auto="1"/>
      </top>
      <bottom style="thick">
        <color auto="1"/>
      </bottom>
      <diagonal/>
    </border>
    <border>
      <left style="thick">
        <color auto="1"/>
      </left>
      <right/>
      <top/>
      <bottom style="thin">
        <color theme="0" tint="-0.14996795556505021"/>
      </bottom>
      <diagonal/>
    </border>
    <border>
      <left/>
      <right/>
      <top/>
      <bottom style="thin">
        <color theme="0" tint="-0.14996795556505021"/>
      </bottom>
      <diagonal/>
    </border>
    <border>
      <left/>
      <right style="thick">
        <color auto="1"/>
      </right>
      <top/>
      <bottom style="thin">
        <color theme="0" tint="-0.14996795556505021"/>
      </bottom>
      <diagonal/>
    </border>
    <border>
      <left style="thick">
        <color auto="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ck">
        <color auto="1"/>
      </right>
      <top style="thin">
        <color theme="0" tint="-0.14996795556505021"/>
      </top>
      <bottom style="thin">
        <color theme="0" tint="-0.14996795556505021"/>
      </bottom>
      <diagonal/>
    </border>
    <border>
      <left style="thick">
        <color auto="1"/>
      </left>
      <right/>
      <top style="thick">
        <color auto="1"/>
      </top>
      <bottom style="thin">
        <color theme="0" tint="-0.14996795556505021"/>
      </bottom>
      <diagonal/>
    </border>
    <border>
      <left/>
      <right/>
      <top style="thick">
        <color auto="1"/>
      </top>
      <bottom style="thin">
        <color theme="0" tint="-0.14996795556505021"/>
      </bottom>
      <diagonal/>
    </border>
    <border>
      <left/>
      <right style="thick">
        <color auto="1"/>
      </right>
      <top style="thick">
        <color auto="1"/>
      </top>
      <bottom style="thin">
        <color theme="0" tint="-0.14996795556505021"/>
      </bottom>
      <diagonal/>
    </border>
    <border>
      <left style="thin">
        <color auto="1"/>
      </left>
      <right style="medium">
        <color auto="1"/>
      </right>
      <top style="medium">
        <color indexed="64"/>
      </top>
      <bottom/>
      <diagonal/>
    </border>
    <border>
      <left style="thin">
        <color auto="1"/>
      </left>
      <right style="medium">
        <color auto="1"/>
      </right>
      <top/>
      <bottom style="medium">
        <color auto="1"/>
      </bottom>
      <diagonal/>
    </border>
    <border>
      <left style="thick">
        <color rgb="FF7030A0"/>
      </left>
      <right/>
      <top/>
      <bottom/>
      <diagonal/>
    </border>
    <border>
      <left style="thick">
        <color rgb="FF7030A0"/>
      </left>
      <right style="thin">
        <color rgb="FF7030A0"/>
      </right>
      <top style="thin">
        <color indexed="64"/>
      </top>
      <bottom style="thin">
        <color auto="1"/>
      </bottom>
      <diagonal/>
    </border>
    <border>
      <left style="thin">
        <color rgb="FF7030A0"/>
      </left>
      <right style="thin">
        <color rgb="FF7030A0"/>
      </right>
      <top style="thin">
        <color indexed="64"/>
      </top>
      <bottom style="thin">
        <color auto="1"/>
      </bottom>
      <diagonal/>
    </border>
    <border>
      <left style="thin">
        <color rgb="FF7030A0"/>
      </left>
      <right style="thin">
        <color auto="1"/>
      </right>
      <top style="thin">
        <color indexed="64"/>
      </top>
      <bottom style="thin">
        <color auto="1"/>
      </bottom>
      <diagonal/>
    </border>
    <border>
      <left style="thick">
        <color rgb="FF7030A0"/>
      </left>
      <right style="thin">
        <color rgb="FF7030A0"/>
      </right>
      <top style="thin">
        <color rgb="FF7030A0"/>
      </top>
      <bottom style="thin">
        <color rgb="FF7030A0"/>
      </bottom>
      <diagonal/>
    </border>
    <border>
      <left style="thick">
        <color rgb="FF7030A0"/>
      </left>
      <right style="thin">
        <color indexed="64"/>
      </right>
      <top style="thin">
        <color indexed="64"/>
      </top>
      <bottom/>
      <diagonal/>
    </border>
    <border>
      <left style="thin">
        <color rgb="FF7030A0"/>
      </left>
      <right style="thin">
        <color rgb="FF7030A0"/>
      </right>
      <top style="thin">
        <color rgb="FF7030A0"/>
      </top>
      <bottom style="thin">
        <color rgb="FF7030A0"/>
      </bottom>
      <diagonal/>
    </border>
    <border>
      <left style="thin">
        <color auto="1"/>
      </left>
      <right style="medium">
        <color indexed="64"/>
      </right>
      <top style="thin">
        <color theme="1"/>
      </top>
      <bottom/>
      <diagonal/>
    </border>
    <border>
      <left style="thick">
        <color rgb="FF7030A0"/>
      </left>
      <right style="thin">
        <color indexed="64"/>
      </right>
      <top style="thin">
        <color theme="1"/>
      </top>
      <bottom/>
      <diagonal/>
    </border>
    <border>
      <left style="thick">
        <color rgb="FF7030A0"/>
      </left>
      <right style="thin">
        <color indexed="64"/>
      </right>
      <top/>
      <bottom style="thin">
        <color indexed="64"/>
      </bottom>
      <diagonal/>
    </border>
    <border>
      <left style="medium">
        <color auto="1"/>
      </left>
      <right style="thin">
        <color auto="1"/>
      </right>
      <top style="thin">
        <color theme="1"/>
      </top>
      <bottom/>
      <diagonal/>
    </border>
    <border>
      <left style="thin">
        <color auto="1"/>
      </left>
      <right/>
      <top style="thin">
        <color theme="1"/>
      </top>
      <bottom/>
      <diagonal/>
    </border>
    <border>
      <left/>
      <right/>
      <top style="thin">
        <color theme="1"/>
      </top>
      <bottom/>
      <diagonal/>
    </border>
    <border>
      <left/>
      <right style="thick">
        <color rgb="FF7030A0"/>
      </right>
      <top style="thin">
        <color theme="1"/>
      </top>
      <bottom/>
      <diagonal/>
    </border>
    <border>
      <left style="thin">
        <color rgb="FF7030A0"/>
      </left>
      <right style="thick">
        <color rgb="FF7030A0"/>
      </right>
      <top style="thin">
        <color rgb="FF7030A0"/>
      </top>
      <bottom style="thin">
        <color rgb="FF7030A0"/>
      </bottom>
      <diagonal/>
    </border>
    <border>
      <left style="thick">
        <color rgb="FF7030A0"/>
      </left>
      <right/>
      <top style="thin">
        <color rgb="FF7030A0"/>
      </top>
      <bottom style="thick">
        <color rgb="FF7030A0"/>
      </bottom>
      <diagonal/>
    </border>
    <border>
      <left/>
      <right/>
      <top style="thin">
        <color rgb="FF7030A0"/>
      </top>
      <bottom style="thick">
        <color rgb="FF7030A0"/>
      </bottom>
      <diagonal/>
    </border>
    <border>
      <left/>
      <right style="thin">
        <color auto="1"/>
      </right>
      <top style="thin">
        <color rgb="FF7030A0"/>
      </top>
      <bottom style="thick">
        <color rgb="FF7030A0"/>
      </bottom>
      <diagonal/>
    </border>
    <border>
      <left style="thin">
        <color auto="1"/>
      </left>
      <right style="thin">
        <color auto="1"/>
      </right>
      <top style="thin">
        <color rgb="FF7030A0"/>
      </top>
      <bottom style="thick">
        <color rgb="FF7030A0"/>
      </bottom>
      <diagonal/>
    </border>
    <border>
      <left/>
      <right style="thick">
        <color rgb="FF7030A0"/>
      </right>
      <top style="thin">
        <color rgb="FF7030A0"/>
      </top>
      <bottom style="thick">
        <color rgb="FF7030A0"/>
      </bottom>
      <diagonal/>
    </border>
    <border>
      <left style="thin">
        <color auto="1"/>
      </left>
      <right/>
      <top style="thin">
        <color auto="1"/>
      </top>
      <bottom style="thin">
        <color theme="1"/>
      </bottom>
      <diagonal/>
    </border>
    <border>
      <left/>
      <right/>
      <top style="thin">
        <color auto="1"/>
      </top>
      <bottom style="thin">
        <color theme="1"/>
      </bottom>
      <diagonal/>
    </border>
    <border>
      <left/>
      <right style="thick">
        <color rgb="FF7030A0"/>
      </right>
      <top style="thin">
        <color auto="1"/>
      </top>
      <bottom style="thin">
        <color theme="1"/>
      </bottom>
      <diagonal/>
    </border>
    <border>
      <left style="thin">
        <color auto="1"/>
      </left>
      <right/>
      <top style="thin">
        <color rgb="FF7030A0"/>
      </top>
      <bottom style="thin">
        <color rgb="FF7030A0"/>
      </bottom>
      <diagonal/>
    </border>
    <border>
      <left/>
      <right/>
      <top style="thin">
        <color rgb="FF7030A0"/>
      </top>
      <bottom style="thin">
        <color rgb="FF7030A0"/>
      </bottom>
      <diagonal/>
    </border>
    <border>
      <left/>
      <right style="thick">
        <color rgb="FF7030A0"/>
      </right>
      <top style="thin">
        <color rgb="FF7030A0"/>
      </top>
      <bottom style="thin">
        <color rgb="FF7030A0"/>
      </bottom>
      <diagonal/>
    </border>
    <border>
      <left style="thin">
        <color rgb="FF7030A0"/>
      </left>
      <right style="thin">
        <color rgb="FF7030A0"/>
      </right>
      <top/>
      <bottom style="thin">
        <color rgb="FF7030A0"/>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style="medium">
        <color auto="1"/>
      </bottom>
      <diagonal/>
    </border>
    <border>
      <left/>
      <right style="thick">
        <color auto="1"/>
      </right>
      <top style="medium">
        <color auto="1"/>
      </top>
      <bottom style="medium">
        <color auto="1"/>
      </bottom>
      <diagonal/>
    </border>
    <border>
      <left style="thick">
        <color auto="1"/>
      </left>
      <right/>
      <top style="medium">
        <color auto="1"/>
      </top>
      <bottom style="thick">
        <color auto="1"/>
      </bottom>
      <diagonal/>
    </border>
    <border>
      <left/>
      <right/>
      <top style="medium">
        <color auto="1"/>
      </top>
      <bottom style="thick">
        <color auto="1"/>
      </bottom>
      <diagonal/>
    </border>
    <border>
      <left/>
      <right style="thick">
        <color auto="1"/>
      </right>
      <top style="medium">
        <color auto="1"/>
      </top>
      <bottom style="thick">
        <color auto="1"/>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12" fillId="0" borderId="0">
      <alignment vertical="top"/>
    </xf>
    <xf numFmtId="0" fontId="22" fillId="0" borderId="0"/>
  </cellStyleXfs>
  <cellXfs count="639">
    <xf numFmtId="0" fontId="0" fillId="0" borderId="0" xfId="0"/>
    <xf numFmtId="0" fontId="3" fillId="0" borderId="0" xfId="0" applyFont="1" applyAlignment="1">
      <alignment horizontal="center"/>
    </xf>
    <xf numFmtId="0" fontId="4" fillId="0" borderId="0" xfId="0" applyFont="1" applyAlignment="1">
      <alignment horizontal="right"/>
    </xf>
    <xf numFmtId="0" fontId="4" fillId="0" borderId="6" xfId="0" applyFont="1" applyBorder="1" applyAlignment="1">
      <alignment horizontal="right"/>
    </xf>
    <xf numFmtId="0" fontId="4" fillId="0" borderId="7" xfId="0" applyFont="1" applyBorder="1" applyAlignment="1">
      <alignment horizontal="right"/>
    </xf>
    <xf numFmtId="14" fontId="3" fillId="0" borderId="0" xfId="0" applyNumberFormat="1" applyFont="1" applyAlignment="1">
      <alignment horizontal="left"/>
    </xf>
    <xf numFmtId="0" fontId="3" fillId="0" borderId="0" xfId="0" applyFont="1" applyAlignment="1">
      <alignment horizontal="left" vertical="center"/>
    </xf>
    <xf numFmtId="0" fontId="3" fillId="0" borderId="0" xfId="0" applyFont="1" applyAlignment="1">
      <alignment horizontal="right"/>
    </xf>
    <xf numFmtId="3" fontId="3" fillId="0" borderId="0" xfId="0" applyNumberFormat="1" applyFont="1" applyAlignment="1">
      <alignment horizontal="right"/>
    </xf>
    <xf numFmtId="0" fontId="0" fillId="0" borderId="10" xfId="0" applyBorder="1"/>
    <xf numFmtId="44" fontId="0" fillId="0" borderId="10" xfId="0" applyNumberFormat="1" applyBorder="1"/>
    <xf numFmtId="0" fontId="7" fillId="0" borderId="10" xfId="0" applyFont="1" applyBorder="1" applyAlignment="1">
      <alignment horizontal="center"/>
    </xf>
    <xf numFmtId="0" fontId="11" fillId="0" borderId="0" xfId="0" applyFont="1"/>
    <xf numFmtId="3" fontId="15" fillId="4" borderId="24" xfId="3" applyNumberFormat="1" applyFont="1" applyFill="1" applyBorder="1" applyAlignment="1">
      <alignment horizontal="center" vertical="center" wrapText="1" readingOrder="1"/>
    </xf>
    <xf numFmtId="3" fontId="15" fillId="0" borderId="22" xfId="3" applyNumberFormat="1" applyFont="1" applyBorder="1" applyAlignment="1">
      <alignment horizontal="center" vertical="center" wrapText="1" readingOrder="1"/>
    </xf>
    <xf numFmtId="3" fontId="15" fillId="4" borderId="10" xfId="3" applyNumberFormat="1" applyFont="1" applyFill="1" applyBorder="1" applyAlignment="1">
      <alignment horizontal="center" vertical="center" wrapText="1" readingOrder="1"/>
    </xf>
    <xf numFmtId="3" fontId="15" fillId="0" borderId="10" xfId="3" applyNumberFormat="1" applyFont="1" applyBorder="1" applyAlignment="1">
      <alignment horizontal="center" vertical="center" wrapText="1" readingOrder="1"/>
    </xf>
    <xf numFmtId="0" fontId="15" fillId="0" borderId="32" xfId="3" applyFont="1" applyBorder="1" applyAlignment="1">
      <alignment horizontal="left" vertical="center" wrapText="1"/>
    </xf>
    <xf numFmtId="0" fontId="15" fillId="0" borderId="9" xfId="3" applyFont="1" applyBorder="1" applyAlignment="1">
      <alignment horizontal="left" vertical="center" wrapText="1"/>
    </xf>
    <xf numFmtId="3" fontId="15" fillId="5" borderId="24" xfId="3" applyNumberFormat="1" applyFont="1" applyFill="1" applyBorder="1" applyAlignment="1">
      <alignment horizontal="center" vertical="center" wrapText="1" readingOrder="1"/>
    </xf>
    <xf numFmtId="3" fontId="15" fillId="5" borderId="10" xfId="3" applyNumberFormat="1" applyFont="1" applyFill="1" applyBorder="1" applyAlignment="1">
      <alignment horizontal="center" vertical="center" wrapText="1" readingOrder="1"/>
    </xf>
    <xf numFmtId="0" fontId="15" fillId="0" borderId="3" xfId="3" applyFont="1" applyBorder="1" applyAlignment="1">
      <alignment horizontal="left" vertical="center" wrapText="1"/>
    </xf>
    <xf numFmtId="0" fontId="7" fillId="0" borderId="43" xfId="0" applyFont="1" applyBorder="1" applyAlignment="1">
      <alignment vertical="center"/>
    </xf>
    <xf numFmtId="0" fontId="14" fillId="0" borderId="24" xfId="3" applyFont="1" applyBorder="1" applyAlignment="1">
      <alignment horizontal="center" vertical="center" wrapText="1" readingOrder="1"/>
    </xf>
    <xf numFmtId="0" fontId="14" fillId="0" borderId="42" xfId="3" applyFont="1" applyBorder="1" applyAlignment="1">
      <alignment horizontal="center" vertical="center" wrapText="1" readingOrder="1"/>
    </xf>
    <xf numFmtId="0" fontId="0" fillId="0" borderId="22" xfId="0" applyBorder="1"/>
    <xf numFmtId="0" fontId="13" fillId="0" borderId="46" xfId="3" applyFont="1" applyBorder="1" applyAlignment="1">
      <alignment horizontal="center" vertical="center"/>
    </xf>
    <xf numFmtId="0" fontId="13" fillId="0" borderId="0" xfId="3" applyFont="1" applyAlignment="1">
      <alignment horizontal="center" vertical="center"/>
    </xf>
    <xf numFmtId="0" fontId="0" fillId="0" borderId="32" xfId="0" applyBorder="1"/>
    <xf numFmtId="0" fontId="7" fillId="2" borderId="33" xfId="0" applyFont="1" applyFill="1" applyBorder="1" applyAlignment="1">
      <alignment horizontal="right"/>
    </xf>
    <xf numFmtId="44" fontId="0" fillId="2" borderId="44" xfId="0" applyNumberFormat="1" applyFill="1" applyBorder="1"/>
    <xf numFmtId="44" fontId="0" fillId="0" borderId="22" xfId="0" applyNumberFormat="1" applyBorder="1"/>
    <xf numFmtId="10" fontId="15" fillId="0" borderId="3" xfId="3" applyNumberFormat="1" applyFont="1" applyBorder="1" applyAlignment="1">
      <alignment horizontal="left" vertical="center" wrapText="1"/>
    </xf>
    <xf numFmtId="0" fontId="15" fillId="0" borderId="30" xfId="3" applyFont="1" applyBorder="1" applyAlignment="1">
      <alignment horizontal="left" vertical="center" wrapText="1"/>
    </xf>
    <xf numFmtId="0" fontId="14" fillId="0" borderId="47" xfId="3" applyFont="1" applyBorder="1" applyAlignment="1">
      <alignment horizontal="center" vertical="center" wrapText="1" readingOrder="1"/>
    </xf>
    <xf numFmtId="0" fontId="15" fillId="0" borderId="12" xfId="3" applyFont="1" applyBorder="1" applyAlignment="1">
      <alignment horizontal="left" vertical="center" wrapText="1"/>
    </xf>
    <xf numFmtId="0" fontId="14" fillId="0" borderId="33" xfId="3" applyFont="1" applyBorder="1" applyAlignment="1">
      <alignment horizontal="center" vertical="center" wrapText="1"/>
    </xf>
    <xf numFmtId="44" fontId="0" fillId="0" borderId="39" xfId="0" applyNumberFormat="1" applyBorder="1"/>
    <xf numFmtId="44" fontId="0" fillId="0" borderId="40" xfId="0" applyNumberFormat="1" applyBorder="1"/>
    <xf numFmtId="44" fontId="0" fillId="0" borderId="45" xfId="0" applyNumberFormat="1" applyBorder="1"/>
    <xf numFmtId="0" fontId="7" fillId="0" borderId="43" xfId="0" applyFont="1" applyBorder="1" applyAlignment="1">
      <alignment horizontal="center" vertical="center"/>
    </xf>
    <xf numFmtId="0" fontId="14" fillId="0" borderId="6" xfId="3" applyFont="1" applyBorder="1" applyAlignment="1">
      <alignment horizontal="center" vertical="center" wrapText="1"/>
    </xf>
    <xf numFmtId="0" fontId="3" fillId="0" borderId="0" xfId="0" applyFont="1"/>
    <xf numFmtId="10" fontId="3" fillId="0" borderId="0" xfId="0" applyNumberFormat="1" applyFont="1" applyAlignment="1">
      <alignment horizontal="left" vertical="center"/>
    </xf>
    <xf numFmtId="0" fontId="4" fillId="0" borderId="10" xfId="0" applyFont="1" applyBorder="1" applyAlignment="1">
      <alignment horizontal="center"/>
    </xf>
    <xf numFmtId="10" fontId="3" fillId="0" borderId="0" xfId="0" applyNumberFormat="1" applyFont="1" applyAlignment="1">
      <alignment horizontal="left"/>
    </xf>
    <xf numFmtId="0" fontId="3" fillId="0" borderId="10" xfId="0" applyFont="1" applyBorder="1" applyAlignment="1">
      <alignment horizontal="center"/>
    </xf>
    <xf numFmtId="168" fontId="4" fillId="0" borderId="11" xfId="0" applyNumberFormat="1" applyFont="1" applyBorder="1"/>
    <xf numFmtId="44" fontId="4" fillId="0" borderId="11" xfId="0" applyNumberFormat="1" applyFont="1" applyBorder="1" applyAlignment="1">
      <alignment horizontal="center"/>
    </xf>
    <xf numFmtId="44" fontId="3" fillId="0" borderId="0" xfId="0" applyNumberFormat="1" applyFont="1"/>
    <xf numFmtId="164" fontId="10" fillId="0" borderId="10" xfId="0" applyNumberFormat="1" applyFont="1" applyBorder="1" applyAlignment="1">
      <alignment horizontal="right"/>
    </xf>
    <xf numFmtId="10" fontId="4" fillId="0" borderId="10" xfId="1" applyNumberFormat="1" applyFont="1" applyBorder="1" applyAlignment="1">
      <alignment horizontal="left"/>
    </xf>
    <xf numFmtId="10" fontId="3" fillId="0" borderId="10" xfId="1" applyNumberFormat="1" applyFont="1" applyBorder="1" applyAlignment="1">
      <alignment horizontal="left"/>
    </xf>
    <xf numFmtId="0" fontId="4" fillId="0" borderId="53" xfId="0" applyFont="1" applyBorder="1" applyAlignment="1">
      <alignment horizontal="right"/>
    </xf>
    <xf numFmtId="0" fontId="3" fillId="0" borderId="53" xfId="0" applyFont="1" applyBorder="1" applyAlignment="1">
      <alignment horizontal="right"/>
    </xf>
    <xf numFmtId="0" fontId="3" fillId="0" borderId="62" xfId="0" applyFont="1" applyBorder="1" applyAlignment="1">
      <alignment horizontal="right"/>
    </xf>
    <xf numFmtId="164" fontId="20" fillId="6" borderId="0" xfId="0" applyNumberFormat="1" applyFont="1" applyFill="1"/>
    <xf numFmtId="0" fontId="4" fillId="0" borderId="11" xfId="0" applyFont="1" applyBorder="1" applyAlignment="1">
      <alignment horizontal="center"/>
    </xf>
    <xf numFmtId="170" fontId="3" fillId="0" borderId="11" xfId="0" applyNumberFormat="1" applyFont="1" applyBorder="1"/>
    <xf numFmtId="44" fontId="0" fillId="0" borderId="63" xfId="0" applyNumberFormat="1" applyBorder="1"/>
    <xf numFmtId="44" fontId="0" fillId="0" borderId="5" xfId="0" applyNumberFormat="1" applyBorder="1"/>
    <xf numFmtId="10" fontId="11" fillId="0" borderId="10" xfId="0" applyNumberFormat="1" applyFont="1" applyBorder="1"/>
    <xf numFmtId="44" fontId="11" fillId="0" borderId="10" xfId="0" applyNumberFormat="1" applyFont="1" applyBorder="1"/>
    <xf numFmtId="44" fontId="11" fillId="2" borderId="33" xfId="0" applyNumberFormat="1" applyFont="1" applyFill="1" applyBorder="1"/>
    <xf numFmtId="0" fontId="11" fillId="2" borderId="34" xfId="0" applyFont="1" applyFill="1" applyBorder="1"/>
    <xf numFmtId="0" fontId="7" fillId="2" borderId="34" xfId="0" applyFont="1" applyFill="1" applyBorder="1" applyAlignment="1">
      <alignment horizontal="right"/>
    </xf>
    <xf numFmtId="0" fontId="0" fillId="0" borderId="46" xfId="0" applyBorder="1" applyAlignment="1">
      <alignment horizontal="center" vertical="center"/>
    </xf>
    <xf numFmtId="37" fontId="0" fillId="0" borderId="22" xfId="0" applyNumberFormat="1" applyBorder="1"/>
    <xf numFmtId="37" fontId="0" fillId="0" borderId="10" xfId="0" applyNumberFormat="1" applyBorder="1"/>
    <xf numFmtId="37" fontId="7" fillId="2" borderId="34" xfId="0" applyNumberFormat="1" applyFont="1" applyFill="1" applyBorder="1" applyAlignment="1">
      <alignment horizontal="right"/>
    </xf>
    <xf numFmtId="164" fontId="14" fillId="2" borderId="44" xfId="3" applyNumberFormat="1" applyFont="1" applyFill="1" applyBorder="1" applyAlignment="1">
      <alignment horizontal="right" vertical="center" wrapText="1" readingOrder="1"/>
    </xf>
    <xf numFmtId="0" fontId="7" fillId="0" borderId="0" xfId="0" applyFont="1"/>
    <xf numFmtId="0" fontId="14" fillId="2" borderId="15" xfId="3" applyFont="1" applyFill="1" applyBorder="1" applyAlignment="1">
      <alignment horizontal="right" vertical="center" wrapText="1"/>
    </xf>
    <xf numFmtId="167" fontId="14" fillId="2" borderId="34" xfId="3" applyNumberFormat="1" applyFont="1" applyFill="1" applyBorder="1" applyAlignment="1">
      <alignment horizontal="right" vertical="center" wrapText="1" readingOrder="1"/>
    </xf>
    <xf numFmtId="0" fontId="14" fillId="5" borderId="38" xfId="3" applyFont="1" applyFill="1" applyBorder="1" applyAlignment="1">
      <alignment horizontal="center" wrapText="1" readingOrder="1"/>
    </xf>
    <xf numFmtId="0" fontId="14" fillId="4" borderId="38" xfId="3" applyFont="1" applyFill="1" applyBorder="1" applyAlignment="1">
      <alignment horizontal="center" wrapText="1" readingOrder="1"/>
    </xf>
    <xf numFmtId="0" fontId="14" fillId="0" borderId="32" xfId="3" applyFont="1" applyBorder="1" applyAlignment="1">
      <alignment horizontal="center" wrapText="1" readingOrder="1"/>
    </xf>
    <xf numFmtId="1" fontId="0" fillId="0" borderId="22" xfId="0" applyNumberFormat="1" applyBorder="1" applyAlignment="1">
      <alignment horizontal="right"/>
    </xf>
    <xf numFmtId="1" fontId="0" fillId="0" borderId="10" xfId="0" applyNumberFormat="1" applyBorder="1" applyAlignment="1">
      <alignment horizontal="right"/>
    </xf>
    <xf numFmtId="1" fontId="0" fillId="0" borderId="32" xfId="0" applyNumberFormat="1" applyBorder="1" applyAlignment="1">
      <alignment horizontal="right"/>
    </xf>
    <xf numFmtId="1" fontId="7" fillId="2" borderId="44" xfId="0" applyNumberFormat="1" applyFont="1" applyFill="1" applyBorder="1" applyAlignment="1">
      <alignment horizontal="right"/>
    </xf>
    <xf numFmtId="0" fontId="18" fillId="0" borderId="10" xfId="4" applyFont="1" applyBorder="1" applyAlignment="1">
      <alignment vertical="center" wrapText="1"/>
    </xf>
    <xf numFmtId="0" fontId="11" fillId="0" borderId="0" xfId="4" applyFont="1" applyAlignment="1">
      <alignment wrapText="1"/>
    </xf>
    <xf numFmtId="0" fontId="11" fillId="0" borderId="10" xfId="4" applyFont="1" applyBorder="1" applyAlignment="1">
      <alignment wrapText="1"/>
    </xf>
    <xf numFmtId="171" fontId="11" fillId="0" borderId="10" xfId="4" applyNumberFormat="1" applyFont="1" applyBorder="1" applyAlignment="1">
      <alignment wrapText="1"/>
    </xf>
    <xf numFmtId="0" fontId="9" fillId="0" borderId="4" xfId="4" applyFont="1" applyBorder="1" applyAlignment="1">
      <alignment vertical="top" wrapText="1"/>
    </xf>
    <xf numFmtId="0" fontId="11" fillId="0" borderId="4" xfId="4" applyFont="1" applyBorder="1" applyAlignment="1">
      <alignment wrapText="1"/>
    </xf>
    <xf numFmtId="171" fontId="11" fillId="0" borderId="4" xfId="4" applyNumberFormat="1" applyFont="1" applyBorder="1" applyAlignment="1">
      <alignment wrapText="1"/>
    </xf>
    <xf numFmtId="0" fontId="22" fillId="0" borderId="4" xfId="4" applyBorder="1" applyAlignment="1">
      <alignment wrapText="1"/>
    </xf>
    <xf numFmtId="171" fontId="11" fillId="0" borderId="0" xfId="4" applyNumberFormat="1" applyFont="1" applyAlignment="1">
      <alignment wrapText="1"/>
    </xf>
    <xf numFmtId="0" fontId="11" fillId="0" borderId="0" xfId="4" applyFont="1"/>
    <xf numFmtId="0" fontId="9" fillId="0" borderId="0" xfId="4" applyFont="1"/>
    <xf numFmtId="0" fontId="9" fillId="0" borderId="10" xfId="4" applyFont="1" applyBorder="1" applyAlignment="1">
      <alignment horizontal="center"/>
    </xf>
    <xf numFmtId="0" fontId="18" fillId="0" borderId="0" xfId="4" applyFont="1"/>
    <xf numFmtId="0" fontId="18" fillId="0" borderId="45" xfId="4" applyFont="1" applyBorder="1" applyAlignment="1">
      <alignment horizontal="center"/>
    </xf>
    <xf numFmtId="0" fontId="18" fillId="0" borderId="38" xfId="4" applyFont="1" applyBorder="1" applyAlignment="1">
      <alignment horizontal="center"/>
    </xf>
    <xf numFmtId="0" fontId="9" fillId="0" borderId="0" xfId="4" applyFont="1" applyAlignment="1">
      <alignment horizontal="left"/>
    </xf>
    <xf numFmtId="0" fontId="3" fillId="0" borderId="0" xfId="4" applyFont="1" applyAlignment="1">
      <alignment wrapText="1"/>
    </xf>
    <xf numFmtId="0" fontId="23" fillId="0" borderId="0" xfId="4" applyFont="1" applyAlignment="1">
      <alignment horizontal="left" wrapText="1"/>
    </xf>
    <xf numFmtId="0" fontId="24" fillId="0" borderId="0" xfId="4" applyFont="1" applyAlignment="1">
      <alignment wrapText="1"/>
    </xf>
    <xf numFmtId="14" fontId="25" fillId="0" borderId="0" xfId="4" applyNumberFormat="1" applyFont="1" applyAlignment="1">
      <alignment wrapText="1"/>
    </xf>
    <xf numFmtId="0" fontId="24" fillId="0" borderId="0" xfId="4" applyFont="1" applyAlignment="1">
      <alignment horizontal="left" wrapText="1"/>
    </xf>
    <xf numFmtId="14" fontId="24" fillId="0" borderId="0" xfId="4" applyNumberFormat="1" applyFont="1" applyAlignment="1">
      <alignment horizontal="left" wrapText="1"/>
    </xf>
    <xf numFmtId="18" fontId="24" fillId="0" borderId="0" xfId="4" applyNumberFormat="1" applyFont="1" applyAlignment="1">
      <alignment wrapText="1"/>
    </xf>
    <xf numFmtId="14" fontId="24" fillId="0" borderId="0" xfId="4" applyNumberFormat="1" applyFont="1" applyAlignment="1">
      <alignment wrapText="1"/>
    </xf>
    <xf numFmtId="0" fontId="24" fillId="0" borderId="0" xfId="4" applyFont="1" applyAlignment="1">
      <alignment horizontal="left"/>
    </xf>
    <xf numFmtId="0" fontId="3" fillId="0" borderId="0" xfId="4" applyFont="1" applyAlignment="1">
      <alignment horizontal="left" vertical="center"/>
    </xf>
    <xf numFmtId="0" fontId="27" fillId="0" borderId="0" xfId="4" applyFont="1" applyAlignment="1">
      <alignment horizontal="left"/>
    </xf>
    <xf numFmtId="0" fontId="29" fillId="0" borderId="0" xfId="4" applyFont="1" applyAlignment="1">
      <alignment wrapText="1"/>
    </xf>
    <xf numFmtId="0" fontId="32" fillId="0" borderId="0" xfId="4" applyFont="1" applyAlignment="1">
      <alignment horizontal="left" wrapText="1"/>
    </xf>
    <xf numFmtId="0" fontId="32" fillId="0" borderId="0" xfId="4" applyFont="1" applyAlignment="1">
      <alignment wrapText="1"/>
    </xf>
    <xf numFmtId="0" fontId="35" fillId="0" borderId="0" xfId="4" applyFont="1" applyAlignment="1">
      <alignment wrapText="1"/>
    </xf>
    <xf numFmtId="0" fontId="36" fillId="0" borderId="0" xfId="4" applyFont="1" applyAlignment="1">
      <alignment wrapText="1"/>
    </xf>
    <xf numFmtId="0" fontId="36" fillId="0" borderId="0" xfId="4" applyFont="1" applyAlignment="1">
      <alignment vertical="top" wrapText="1"/>
    </xf>
    <xf numFmtId="0" fontId="37" fillId="0" borderId="0" xfId="4" applyFont="1" applyAlignment="1">
      <alignment vertical="top" wrapText="1"/>
    </xf>
    <xf numFmtId="0" fontId="37" fillId="0" borderId="0" xfId="4" applyFont="1" applyAlignment="1">
      <alignment wrapText="1"/>
    </xf>
    <xf numFmtId="0" fontId="3" fillId="0" borderId="0" xfId="0" applyFont="1" applyAlignment="1">
      <alignment wrapText="1"/>
    </xf>
    <xf numFmtId="0" fontId="36" fillId="0" borderId="0" xfId="0" applyFont="1" applyAlignment="1">
      <alignment wrapText="1"/>
    </xf>
    <xf numFmtId="0" fontId="36" fillId="0" borderId="0" xfId="0" applyFont="1" applyAlignment="1">
      <alignment vertical="top" wrapText="1"/>
    </xf>
    <xf numFmtId="0" fontId="36" fillId="0" borderId="0" xfId="0" applyFont="1" applyAlignment="1">
      <alignment horizontal="left" vertical="top" wrapText="1"/>
    </xf>
    <xf numFmtId="0" fontId="36" fillId="0" borderId="0" xfId="0" applyFont="1" applyAlignment="1">
      <alignment horizontal="right" vertical="top" wrapText="1"/>
    </xf>
    <xf numFmtId="2" fontId="36" fillId="0" borderId="0" xfId="0" applyNumberFormat="1" applyFont="1" applyAlignment="1">
      <alignment vertical="top" wrapText="1"/>
    </xf>
    <xf numFmtId="0" fontId="36" fillId="3" borderId="0" xfId="0" applyFont="1" applyFill="1" applyAlignment="1">
      <alignment vertical="top" wrapText="1"/>
    </xf>
    <xf numFmtId="0" fontId="3" fillId="0" borderId="0" xfId="0" applyFont="1" applyAlignment="1">
      <alignment vertical="top" wrapText="1"/>
    </xf>
    <xf numFmtId="0" fontId="3" fillId="0" borderId="0" xfId="4" applyFont="1"/>
    <xf numFmtId="42" fontId="3" fillId="0" borderId="69" xfId="4" applyNumberFormat="1" applyFont="1" applyBorder="1" applyAlignment="1">
      <alignment horizontal="right"/>
    </xf>
    <xf numFmtId="44" fontId="41" fillId="0" borderId="0" xfId="4" applyNumberFormat="1" applyFont="1"/>
    <xf numFmtId="3" fontId="14" fillId="2" borderId="44" xfId="3" applyNumberFormat="1" applyFont="1" applyFill="1" applyBorder="1" applyAlignment="1">
      <alignment horizontal="center" vertical="center" wrapText="1" readingOrder="1"/>
    </xf>
    <xf numFmtId="37" fontId="0" fillId="2" borderId="44" xfId="0" applyNumberFormat="1" applyFill="1" applyBorder="1"/>
    <xf numFmtId="42" fontId="3" fillId="0" borderId="0" xfId="4" applyNumberFormat="1" applyFont="1" applyAlignment="1">
      <alignment horizontal="right"/>
    </xf>
    <xf numFmtId="0" fontId="3" fillId="0" borderId="74" xfId="4" applyFont="1" applyBorder="1"/>
    <xf numFmtId="42" fontId="4" fillId="0" borderId="69" xfId="4" applyNumberFormat="1" applyFont="1" applyBorder="1"/>
    <xf numFmtId="0" fontId="4" fillId="0" borderId="74" xfId="4" applyFont="1" applyBorder="1"/>
    <xf numFmtId="42" fontId="3" fillId="0" borderId="78" xfId="4" applyNumberFormat="1" applyFont="1" applyBorder="1" applyAlignment="1">
      <alignment horizontal="right"/>
    </xf>
    <xf numFmtId="0" fontId="3" fillId="0" borderId="80" xfId="4" applyFont="1" applyBorder="1" applyAlignment="1">
      <alignment horizontal="right"/>
    </xf>
    <xf numFmtId="42" fontId="3" fillId="0" borderId="81" xfId="4" applyNumberFormat="1" applyFont="1" applyBorder="1" applyAlignment="1">
      <alignment horizontal="right"/>
    </xf>
    <xf numFmtId="42" fontId="3" fillId="0" borderId="81" xfId="4" applyNumberFormat="1" applyFont="1" applyBorder="1"/>
    <xf numFmtId="3" fontId="3" fillId="0" borderId="81" xfId="4" applyNumberFormat="1" applyFont="1" applyBorder="1"/>
    <xf numFmtId="0" fontId="3" fillId="0" borderId="81" xfId="4" applyFont="1" applyBorder="1"/>
    <xf numFmtId="37" fontId="3" fillId="0" borderId="81" xfId="4" applyNumberFormat="1" applyFont="1" applyBorder="1" applyAlignment="1">
      <alignment horizontal="right"/>
    </xf>
    <xf numFmtId="37" fontId="3" fillId="0" borderId="81" xfId="4" applyNumberFormat="1" applyFont="1" applyBorder="1"/>
    <xf numFmtId="0" fontId="3" fillId="3" borderId="81" xfId="4" applyFont="1" applyFill="1" applyBorder="1" applyAlignment="1">
      <alignment horizontal="right"/>
    </xf>
    <xf numFmtId="42" fontId="4" fillId="0" borderId="84" xfId="4" applyNumberFormat="1" applyFont="1" applyBorder="1"/>
    <xf numFmtId="0" fontId="3" fillId="0" borderId="85" xfId="4" applyFont="1" applyBorder="1"/>
    <xf numFmtId="0" fontId="3" fillId="0" borderId="79" xfId="4" applyFont="1" applyBorder="1" applyAlignment="1">
      <alignment horizontal="left"/>
    </xf>
    <xf numFmtId="0" fontId="3" fillId="0" borderId="82" xfId="4" applyFont="1" applyBorder="1" applyAlignment="1">
      <alignment horizontal="left"/>
    </xf>
    <xf numFmtId="0" fontId="3" fillId="0" borderId="72" xfId="4" applyFont="1" applyBorder="1" applyAlignment="1">
      <alignment horizontal="left"/>
    </xf>
    <xf numFmtId="0" fontId="21" fillId="0" borderId="0" xfId="2" applyFont="1"/>
    <xf numFmtId="0" fontId="14" fillId="0" borderId="23" xfId="3" applyFont="1" applyBorder="1" applyAlignment="1">
      <alignment horizontal="center" vertical="center" wrapText="1" readingOrder="1"/>
    </xf>
    <xf numFmtId="0" fontId="3" fillId="0" borderId="4" xfId="0" applyFont="1" applyBorder="1" applyAlignment="1">
      <alignment horizontal="right"/>
    </xf>
    <xf numFmtId="0" fontId="3" fillId="0" borderId="18" xfId="0" applyFont="1" applyBorder="1" applyAlignment="1">
      <alignment horizontal="right"/>
    </xf>
    <xf numFmtId="3" fontId="3" fillId="0" borderId="10" xfId="0" applyNumberFormat="1" applyFont="1" applyBorder="1" applyAlignment="1">
      <alignment horizontal="right"/>
    </xf>
    <xf numFmtId="44" fontId="11" fillId="8" borderId="9" xfId="0" applyNumberFormat="1" applyFont="1" applyFill="1" applyBorder="1"/>
    <xf numFmtId="44" fontId="7" fillId="0" borderId="44" xfId="0" applyNumberFormat="1" applyFont="1" applyBorder="1"/>
    <xf numFmtId="0" fontId="7" fillId="0" borderId="90" xfId="0" applyFont="1" applyBorder="1" applyAlignment="1">
      <alignment horizontal="center"/>
    </xf>
    <xf numFmtId="0" fontId="18" fillId="0" borderId="90" xfId="0" applyFont="1" applyBorder="1" applyAlignment="1">
      <alignment horizontal="center"/>
    </xf>
    <xf numFmtId="0" fontId="18" fillId="0" borderId="91" xfId="0" applyFont="1" applyBorder="1" applyAlignment="1">
      <alignment horizontal="center"/>
    </xf>
    <xf numFmtId="0" fontId="4" fillId="0" borderId="93" xfId="0" applyFont="1" applyBorder="1" applyAlignment="1">
      <alignment horizontal="right"/>
    </xf>
    <xf numFmtId="0" fontId="4" fillId="0" borderId="92" xfId="0" applyFont="1" applyBorder="1" applyAlignment="1">
      <alignment horizontal="right"/>
    </xf>
    <xf numFmtId="0" fontId="4" fillId="0" borderId="58" xfId="0" applyFont="1" applyBorder="1" applyAlignment="1">
      <alignment horizontal="center" wrapText="1"/>
    </xf>
    <xf numFmtId="0" fontId="4" fillId="0" borderId="88" xfId="0" applyFont="1" applyBorder="1" applyAlignment="1">
      <alignment horizontal="right"/>
    </xf>
    <xf numFmtId="0" fontId="45" fillId="0" borderId="53" xfId="0" applyFont="1" applyBorder="1" applyAlignment="1">
      <alignment horizontal="left" wrapText="1"/>
    </xf>
    <xf numFmtId="0" fontId="45" fillId="0" borderId="89" xfId="0" applyFont="1" applyBorder="1" applyAlignment="1">
      <alignment horizontal="left"/>
    </xf>
    <xf numFmtId="44" fontId="4" fillId="0" borderId="66" xfId="0" applyNumberFormat="1" applyFont="1" applyBorder="1" applyAlignment="1">
      <alignment horizontal="center"/>
    </xf>
    <xf numFmtId="10" fontId="19" fillId="0" borderId="67" xfId="0" applyNumberFormat="1" applyFont="1" applyBorder="1" applyAlignment="1">
      <alignment horizontal="right"/>
    </xf>
    <xf numFmtId="164" fontId="3" fillId="0" borderId="0" xfId="0" applyNumberFormat="1" applyFont="1"/>
    <xf numFmtId="10" fontId="3" fillId="0" borderId="10" xfId="0" applyNumberFormat="1" applyFont="1" applyBorder="1" applyAlignment="1">
      <alignment horizontal="left"/>
    </xf>
    <xf numFmtId="0" fontId="3" fillId="0" borderId="10" xfId="0" applyFont="1" applyBorder="1"/>
    <xf numFmtId="1" fontId="3" fillId="0" borderId="10" xfId="0" applyNumberFormat="1" applyFont="1" applyBorder="1"/>
    <xf numFmtId="173" fontId="3" fillId="0" borderId="10" xfId="0" applyNumberFormat="1" applyFont="1" applyBorder="1" applyAlignment="1">
      <alignment horizontal="right"/>
    </xf>
    <xf numFmtId="0" fontId="4" fillId="0" borderId="10" xfId="0" applyFont="1" applyBorder="1" applyAlignment="1">
      <alignment wrapText="1"/>
    </xf>
    <xf numFmtId="0" fontId="4" fillId="0" borderId="4" xfId="0" applyFont="1" applyBorder="1" applyAlignment="1">
      <alignment horizontal="center"/>
    </xf>
    <xf numFmtId="18" fontId="24" fillId="0" borderId="0" xfId="4" applyNumberFormat="1" applyFont="1" applyAlignment="1">
      <alignment horizontal="left" wrapText="1"/>
    </xf>
    <xf numFmtId="0" fontId="40" fillId="0" borderId="0" xfId="4" applyFont="1" applyAlignment="1">
      <alignment horizontal="center"/>
    </xf>
    <xf numFmtId="165" fontId="4" fillId="0" borderId="0" xfId="0" applyNumberFormat="1" applyFont="1" applyAlignment="1">
      <alignment horizontal="right"/>
    </xf>
    <xf numFmtId="0" fontId="11" fillId="0" borderId="0" xfId="0" applyFont="1" applyAlignment="1">
      <alignment horizontal="right"/>
    </xf>
    <xf numFmtId="0" fontId="14" fillId="0" borderId="44" xfId="3" applyFont="1" applyBorder="1" applyAlignment="1">
      <alignment horizontal="center" vertical="center" wrapText="1" readingOrder="1"/>
    </xf>
    <xf numFmtId="0" fontId="14" fillId="2" borderId="33" xfId="3" applyFont="1" applyFill="1" applyBorder="1" applyAlignment="1">
      <alignment horizontal="right" vertical="center" wrapText="1"/>
    </xf>
    <xf numFmtId="3" fontId="14" fillId="2" borderId="34" xfId="3" applyNumberFormat="1" applyFont="1" applyFill="1" applyBorder="1" applyAlignment="1">
      <alignment horizontal="center" vertical="center" wrapText="1" readingOrder="1"/>
    </xf>
    <xf numFmtId="44" fontId="7" fillId="0" borderId="10" xfId="0" applyNumberFormat="1" applyFont="1" applyBorder="1"/>
    <xf numFmtId="164" fontId="4" fillId="0" borderId="10" xfId="0" applyNumberFormat="1" applyFont="1" applyBorder="1" applyAlignment="1">
      <alignment horizontal="center"/>
    </xf>
    <xf numFmtId="174" fontId="15" fillId="0" borderId="10" xfId="3" applyNumberFormat="1" applyFont="1" applyBorder="1" applyAlignment="1">
      <alignment horizontal="right" vertical="center" wrapText="1" readingOrder="1"/>
    </xf>
    <xf numFmtId="9" fontId="3" fillId="0" borderId="0" xfId="1" applyFont="1" applyFill="1" applyAlignment="1">
      <alignment horizontal="right"/>
    </xf>
    <xf numFmtId="0" fontId="14" fillId="0" borderId="38" xfId="3" applyFont="1" applyBorder="1" applyAlignment="1">
      <alignment horizontal="center" vertical="center" wrapText="1" readingOrder="1"/>
    </xf>
    <xf numFmtId="39" fontId="0" fillId="0" borderId="22" xfId="0" applyNumberFormat="1" applyBorder="1"/>
    <xf numFmtId="39" fontId="0" fillId="0" borderId="10" xfId="0" applyNumberFormat="1" applyBorder="1"/>
    <xf numFmtId="39" fontId="0" fillId="0" borderId="38" xfId="0" applyNumberFormat="1" applyBorder="1"/>
    <xf numFmtId="39" fontId="7" fillId="2" borderId="34" xfId="0" applyNumberFormat="1" applyFont="1" applyFill="1" applyBorder="1" applyAlignment="1">
      <alignment horizontal="right"/>
    </xf>
    <xf numFmtId="0" fontId="3" fillId="0" borderId="0" xfId="4" applyFont="1" applyAlignment="1">
      <alignment horizontal="left"/>
    </xf>
    <xf numFmtId="0" fontId="4" fillId="0" borderId="0" xfId="4" applyFont="1" applyAlignment="1">
      <alignment horizontal="right"/>
    </xf>
    <xf numFmtId="14" fontId="3" fillId="0" borderId="0" xfId="4" applyNumberFormat="1" applyFont="1" applyAlignment="1">
      <alignment horizontal="left"/>
    </xf>
    <xf numFmtId="0" fontId="40" fillId="0" borderId="72" xfId="4" applyFont="1" applyBorder="1" applyAlignment="1">
      <alignment horizontal="center"/>
    </xf>
    <xf numFmtId="2" fontId="0" fillId="0" borderId="22" xfId="0" applyNumberFormat="1" applyBorder="1" applyAlignment="1">
      <alignment horizontal="right"/>
    </xf>
    <xf numFmtId="2" fontId="0" fillId="0" borderId="10" xfId="0" applyNumberFormat="1" applyBorder="1" applyAlignment="1">
      <alignment horizontal="right"/>
    </xf>
    <xf numFmtId="2" fontId="0" fillId="0" borderId="32" xfId="0" applyNumberFormat="1" applyBorder="1" applyAlignment="1">
      <alignment horizontal="right"/>
    </xf>
    <xf numFmtId="2" fontId="7" fillId="2" borderId="44" xfId="0" applyNumberFormat="1" applyFont="1" applyFill="1" applyBorder="1" applyAlignment="1">
      <alignment horizontal="right"/>
    </xf>
    <xf numFmtId="170" fontId="15" fillId="0" borderId="22" xfId="3" applyNumberFormat="1" applyFont="1" applyBorder="1" applyAlignment="1">
      <alignment horizontal="right" vertical="center" wrapText="1" readingOrder="1"/>
    </xf>
    <xf numFmtId="170" fontId="15" fillId="0" borderId="10" xfId="3" applyNumberFormat="1" applyFont="1" applyBorder="1" applyAlignment="1">
      <alignment horizontal="right" vertical="center" wrapText="1" readingOrder="1"/>
    </xf>
    <xf numFmtId="7" fontId="0" fillId="0" borderId="22" xfId="0" applyNumberFormat="1" applyBorder="1"/>
    <xf numFmtId="7" fontId="0" fillId="0" borderId="10" xfId="0" applyNumberFormat="1" applyBorder="1"/>
    <xf numFmtId="4" fontId="0" fillId="0" borderId="22" xfId="0" applyNumberFormat="1" applyBorder="1"/>
    <xf numFmtId="4" fontId="0" fillId="0" borderId="10" xfId="0" applyNumberFormat="1" applyBorder="1"/>
    <xf numFmtId="4" fontId="0" fillId="0" borderId="32" xfId="0" applyNumberFormat="1" applyBorder="1"/>
    <xf numFmtId="7" fontId="0" fillId="2" borderId="44" xfId="0" applyNumberFormat="1" applyFill="1" applyBorder="1"/>
    <xf numFmtId="175" fontId="15" fillId="0" borderId="22" xfId="3" applyNumberFormat="1" applyFont="1" applyBorder="1" applyAlignment="1">
      <alignment horizontal="right" vertical="center" wrapText="1" readingOrder="1"/>
    </xf>
    <xf numFmtId="175" fontId="15" fillId="0" borderId="10" xfId="3" applyNumberFormat="1" applyFont="1" applyBorder="1" applyAlignment="1">
      <alignment horizontal="right" vertical="center" wrapText="1" readingOrder="1"/>
    </xf>
    <xf numFmtId="7" fontId="0" fillId="0" borderId="18" xfId="0" applyNumberFormat="1" applyBorder="1"/>
    <xf numFmtId="7" fontId="0" fillId="0" borderId="38" xfId="0" applyNumberFormat="1" applyBorder="1"/>
    <xf numFmtId="7" fontId="7" fillId="2" borderId="34" xfId="0" applyNumberFormat="1" applyFont="1" applyFill="1" applyBorder="1" applyAlignment="1">
      <alignment horizontal="right"/>
    </xf>
    <xf numFmtId="0" fontId="11" fillId="0" borderId="0" xfId="0" applyFont="1" applyAlignment="1">
      <alignment vertical="center"/>
    </xf>
    <xf numFmtId="166" fontId="4" fillId="0" borderId="7" xfId="0" applyNumberFormat="1" applyFont="1" applyBorder="1" applyAlignment="1">
      <alignment horizontal="center"/>
    </xf>
    <xf numFmtId="3" fontId="4" fillId="0" borderId="7" xfId="0" applyNumberFormat="1" applyFont="1" applyBorder="1" applyAlignment="1">
      <alignment horizontal="center"/>
    </xf>
    <xf numFmtId="165" fontId="4" fillId="0" borderId="7" xfId="0" applyNumberFormat="1" applyFont="1" applyBorder="1" applyAlignment="1">
      <alignment horizontal="center"/>
    </xf>
    <xf numFmtId="44" fontId="3" fillId="0" borderId="0" xfId="0" applyNumberFormat="1" applyFont="1" applyAlignment="1">
      <alignment horizontal="right"/>
    </xf>
    <xf numFmtId="44" fontId="11" fillId="0" borderId="9" xfId="0" applyNumberFormat="1" applyFont="1" applyBorder="1"/>
    <xf numFmtId="44" fontId="11" fillId="0" borderId="31" xfId="0" applyNumberFormat="1" applyFont="1" applyBorder="1"/>
    <xf numFmtId="44" fontId="11" fillId="0" borderId="26" xfId="0" applyNumberFormat="1" applyFont="1" applyBorder="1"/>
    <xf numFmtId="164" fontId="15" fillId="9" borderId="42" xfId="3" applyNumberFormat="1" applyFont="1" applyFill="1" applyBorder="1" applyAlignment="1">
      <alignment horizontal="right" vertical="center" wrapText="1" readingOrder="1"/>
    </xf>
    <xf numFmtId="164" fontId="15" fillId="9" borderId="40" xfId="3" applyNumberFormat="1" applyFont="1" applyFill="1" applyBorder="1" applyAlignment="1">
      <alignment horizontal="right" vertical="center" wrapText="1" readingOrder="1"/>
    </xf>
    <xf numFmtId="7" fontId="0" fillId="9" borderId="22" xfId="0" applyNumberFormat="1" applyFill="1" applyBorder="1"/>
    <xf numFmtId="7" fontId="0" fillId="9" borderId="10" xfId="0" applyNumberFormat="1" applyFill="1" applyBorder="1"/>
    <xf numFmtId="164" fontId="0" fillId="9" borderId="22" xfId="0" applyNumberFormat="1" applyFill="1" applyBorder="1"/>
    <xf numFmtId="164" fontId="0" fillId="9" borderId="10" xfId="0" applyNumberFormat="1" applyFill="1" applyBorder="1"/>
    <xf numFmtId="164" fontId="0" fillId="9" borderId="38" xfId="0" applyNumberFormat="1" applyFill="1" applyBorder="1"/>
    <xf numFmtId="10" fontId="15" fillId="0" borderId="10" xfId="3" applyNumberFormat="1" applyFont="1" applyBorder="1" applyAlignment="1">
      <alignment horizontal="center" vertical="center" wrapText="1" readingOrder="1"/>
    </xf>
    <xf numFmtId="44" fontId="0" fillId="9" borderId="39" xfId="0" applyNumberFormat="1" applyFill="1" applyBorder="1"/>
    <xf numFmtId="44" fontId="0" fillId="9" borderId="40" xfId="0" applyNumberFormat="1" applyFill="1" applyBorder="1"/>
    <xf numFmtId="44" fontId="0" fillId="9" borderId="45" xfId="0" applyNumberFormat="1" applyFill="1" applyBorder="1"/>
    <xf numFmtId="0" fontId="15" fillId="9" borderId="12" xfId="3" applyFont="1" applyFill="1" applyBorder="1" applyAlignment="1">
      <alignment horizontal="left" vertical="center" wrapText="1"/>
    </xf>
    <xf numFmtId="0" fontId="15" fillId="9" borderId="3" xfId="3" applyFont="1" applyFill="1" applyBorder="1" applyAlignment="1">
      <alignment horizontal="left" vertical="center" wrapText="1"/>
    </xf>
    <xf numFmtId="44" fontId="0" fillId="9" borderId="22" xfId="0" applyNumberFormat="1" applyFill="1" applyBorder="1"/>
    <xf numFmtId="44" fontId="0" fillId="9" borderId="24" xfId="0" applyNumberFormat="1" applyFill="1" applyBorder="1"/>
    <xf numFmtId="44" fontId="0" fillId="9" borderId="10" xfId="0" applyNumberFormat="1" applyFill="1" applyBorder="1"/>
    <xf numFmtId="44" fontId="0" fillId="9" borderId="38" xfId="0" applyNumberFormat="1" applyFill="1" applyBorder="1"/>
    <xf numFmtId="44" fontId="3" fillId="9" borderId="10" xfId="0" applyNumberFormat="1" applyFont="1" applyFill="1" applyBorder="1"/>
    <xf numFmtId="44" fontId="11" fillId="9" borderId="22" xfId="0" applyNumberFormat="1" applyFont="1" applyFill="1" applyBorder="1"/>
    <xf numFmtId="164" fontId="3" fillId="9" borderId="10" xfId="0" applyNumberFormat="1" applyFont="1" applyFill="1" applyBorder="1" applyAlignment="1">
      <alignment horizontal="right"/>
    </xf>
    <xf numFmtId="44" fontId="11" fillId="9" borderId="10" xfId="0" applyNumberFormat="1" applyFont="1" applyFill="1" applyBorder="1"/>
    <xf numFmtId="44" fontId="11" fillId="9" borderId="10" xfId="0" applyNumberFormat="1" applyFont="1" applyFill="1" applyBorder="1" applyAlignment="1">
      <alignment vertical="center"/>
    </xf>
    <xf numFmtId="44" fontId="11" fillId="9" borderId="11" xfId="0" applyNumberFormat="1" applyFont="1" applyFill="1" applyBorder="1"/>
    <xf numFmtId="44" fontId="11" fillId="9" borderId="4" xfId="0" applyNumberFormat="1" applyFont="1" applyFill="1" applyBorder="1"/>
    <xf numFmtId="0" fontId="3" fillId="9" borderId="10" xfId="0" applyFont="1" applyFill="1" applyBorder="1" applyAlignment="1">
      <alignment horizontal="center"/>
    </xf>
    <xf numFmtId="7" fontId="3" fillId="9" borderId="64" xfId="0" applyNumberFormat="1" applyFont="1" applyFill="1" applyBorder="1"/>
    <xf numFmtId="164" fontId="10" fillId="9" borderId="24" xfId="0" applyNumberFormat="1" applyFont="1" applyFill="1" applyBorder="1" applyAlignment="1">
      <alignment horizontal="right"/>
    </xf>
    <xf numFmtId="7" fontId="3" fillId="9" borderId="11" xfId="0" applyNumberFormat="1" applyFont="1" applyFill="1" applyBorder="1"/>
    <xf numFmtId="10" fontId="19" fillId="9" borderId="94" xfId="0" applyNumberFormat="1" applyFont="1" applyFill="1" applyBorder="1" applyAlignment="1">
      <alignment horizontal="right"/>
    </xf>
    <xf numFmtId="164" fontId="11" fillId="9" borderId="114" xfId="0" applyNumberFormat="1" applyFont="1" applyFill="1" applyBorder="1" applyAlignment="1">
      <alignment horizontal="right"/>
    </xf>
    <xf numFmtId="7" fontId="10" fillId="9" borderId="94" xfId="0" applyNumberFormat="1" applyFont="1" applyFill="1" applyBorder="1" applyAlignment="1">
      <alignment horizontal="right"/>
    </xf>
    <xf numFmtId="164" fontId="11" fillId="9" borderId="94" xfId="0" applyNumberFormat="1" applyFont="1" applyFill="1" applyBorder="1" applyAlignment="1">
      <alignment horizontal="right"/>
    </xf>
    <xf numFmtId="169" fontId="3" fillId="9" borderId="11" xfId="0" applyNumberFormat="1" applyFont="1" applyFill="1" applyBorder="1"/>
    <xf numFmtId="0" fontId="11" fillId="0" borderId="94" xfId="0" applyFont="1" applyBorder="1"/>
    <xf numFmtId="0" fontId="11" fillId="0" borderId="65" xfId="0" applyFont="1" applyBorder="1" applyAlignment="1">
      <alignment horizontal="left"/>
    </xf>
    <xf numFmtId="44" fontId="3" fillId="9" borderId="59" xfId="0" applyNumberFormat="1" applyFont="1" applyFill="1" applyBorder="1"/>
    <xf numFmtId="44" fontId="3" fillId="9" borderId="66" xfId="0" applyNumberFormat="1" applyFont="1" applyFill="1" applyBorder="1"/>
    <xf numFmtId="0" fontId="3" fillId="0" borderId="94" xfId="0" applyFont="1" applyBorder="1" applyAlignment="1">
      <alignment horizontal="center"/>
    </xf>
    <xf numFmtId="44" fontId="3" fillId="0" borderId="94" xfId="0" applyNumberFormat="1" applyFont="1" applyBorder="1"/>
    <xf numFmtId="0" fontId="3" fillId="0" borderId="32" xfId="0" applyFont="1" applyBorder="1" applyAlignment="1">
      <alignment horizontal="center"/>
    </xf>
    <xf numFmtId="172" fontId="28" fillId="0" borderId="121" xfId="4" applyNumberFormat="1" applyFont="1" applyBorder="1" applyAlignment="1">
      <alignment wrapText="1"/>
    </xf>
    <xf numFmtId="1" fontId="32" fillId="0" borderId="0" xfId="4" applyNumberFormat="1" applyFont="1" applyAlignment="1">
      <alignment wrapText="1"/>
    </xf>
    <xf numFmtId="1" fontId="32" fillId="0" borderId="0" xfId="4" applyNumberFormat="1" applyFont="1" applyAlignment="1">
      <alignment horizontal="right" wrapText="1"/>
    </xf>
    <xf numFmtId="37" fontId="32" fillId="0" borderId="0" xfId="4" applyNumberFormat="1" applyFont="1" applyAlignment="1">
      <alignment wrapText="1"/>
    </xf>
    <xf numFmtId="0" fontId="33" fillId="0" borderId="0" xfId="4" applyFont="1" applyAlignment="1">
      <alignment wrapText="1"/>
    </xf>
    <xf numFmtId="0" fontId="9" fillId="0" borderId="0" xfId="4" applyFont="1" applyAlignment="1">
      <alignment horizontal="left" wrapText="1"/>
    </xf>
    <xf numFmtId="164" fontId="4" fillId="9" borderId="10" xfId="0" applyNumberFormat="1" applyFont="1" applyFill="1" applyBorder="1" applyAlignment="1">
      <alignment horizontal="right"/>
    </xf>
    <xf numFmtId="164" fontId="7" fillId="9" borderId="4" xfId="0" applyNumberFormat="1" applyFont="1" applyFill="1" applyBorder="1" applyAlignment="1">
      <alignment vertical="center"/>
    </xf>
    <xf numFmtId="164" fontId="19" fillId="9" borderId="106" xfId="0" applyNumberFormat="1" applyFont="1" applyFill="1" applyBorder="1" applyAlignment="1">
      <alignment horizontal="right"/>
    </xf>
    <xf numFmtId="0" fontId="3" fillId="0" borderId="0" xfId="0" applyFont="1" applyAlignment="1">
      <alignment horizontal="left" wrapText="1"/>
    </xf>
    <xf numFmtId="10" fontId="11" fillId="8" borderId="10" xfId="0" applyNumberFormat="1" applyFont="1" applyFill="1" applyBorder="1"/>
    <xf numFmtId="10" fontId="11" fillId="8" borderId="24" xfId="0" applyNumberFormat="1" applyFont="1" applyFill="1" applyBorder="1"/>
    <xf numFmtId="164" fontId="3" fillId="8" borderId="22" xfId="0" applyNumberFormat="1" applyFont="1" applyFill="1" applyBorder="1" applyAlignment="1">
      <alignment horizontal="right"/>
    </xf>
    <xf numFmtId="164" fontId="3" fillId="8" borderId="10" xfId="0" applyNumberFormat="1" applyFont="1" applyFill="1" applyBorder="1" applyAlignment="1">
      <alignment horizontal="right"/>
    </xf>
    <xf numFmtId="0" fontId="3" fillId="8" borderId="0" xfId="0" applyFont="1" applyFill="1" applyAlignment="1">
      <alignment horizontal="right"/>
    </xf>
    <xf numFmtId="3" fontId="3" fillId="0" borderId="22" xfId="0" applyNumberFormat="1" applyFont="1" applyBorder="1" applyAlignment="1">
      <alignment horizontal="right"/>
    </xf>
    <xf numFmtId="3" fontId="3" fillId="8" borderId="10" xfId="0" applyNumberFormat="1" applyFont="1" applyFill="1" applyBorder="1" applyAlignment="1">
      <alignment horizontal="right"/>
    </xf>
    <xf numFmtId="164" fontId="3" fillId="8" borderId="10" xfId="0" applyNumberFormat="1" applyFont="1" applyFill="1" applyBorder="1"/>
    <xf numFmtId="0" fontId="9" fillId="0" borderId="10" xfId="4" applyFont="1" applyBorder="1" applyAlignment="1">
      <alignment horizontal="center" vertical="center"/>
    </xf>
    <xf numFmtId="0" fontId="9" fillId="0" borderId="125" xfId="4" applyFont="1" applyBorder="1"/>
    <xf numFmtId="0" fontId="9" fillId="0" borderId="33" xfId="4" applyFont="1" applyBorder="1"/>
    <xf numFmtId="0" fontId="9" fillId="0" borderId="32" xfId="4" applyFont="1" applyBorder="1" applyAlignment="1">
      <alignment horizontal="center"/>
    </xf>
    <xf numFmtId="0" fontId="9" fillId="0" borderId="24" xfId="4" applyFont="1" applyBorder="1" applyAlignment="1">
      <alignment horizontal="center"/>
    </xf>
    <xf numFmtId="0" fontId="9" fillId="0" borderId="10" xfId="4" applyFont="1" applyBorder="1" applyAlignment="1">
      <alignment horizontal="center"/>
    </xf>
    <xf numFmtId="0" fontId="9" fillId="0" borderId="18" xfId="4" applyFont="1" applyBorder="1"/>
    <xf numFmtId="0" fontId="9" fillId="0" borderId="4" xfId="4" applyFont="1" applyBorder="1"/>
    <xf numFmtId="0" fontId="9" fillId="0" borderId="11" xfId="4" applyFont="1" applyBorder="1"/>
    <xf numFmtId="0" fontId="18" fillId="0" borderId="13" xfId="4" applyFont="1" applyBorder="1"/>
    <xf numFmtId="0" fontId="9" fillId="0" borderId="13" xfId="4" applyFont="1" applyBorder="1"/>
    <xf numFmtId="0" fontId="9" fillId="0" borderId="36" xfId="4" applyFont="1" applyBorder="1"/>
    <xf numFmtId="0" fontId="9" fillId="0" borderId="14" xfId="4" applyFont="1" applyBorder="1"/>
    <xf numFmtId="0" fontId="9" fillId="0" borderId="66" xfId="4" applyFont="1" applyBorder="1"/>
    <xf numFmtId="0" fontId="18" fillId="0" borderId="29" xfId="4" applyFont="1" applyBorder="1" applyAlignment="1">
      <alignment horizontal="left"/>
    </xf>
    <xf numFmtId="0" fontId="18" fillId="0" borderId="13" xfId="4" applyFont="1" applyBorder="1" applyAlignment="1">
      <alignment horizontal="left"/>
    </xf>
    <xf numFmtId="0" fontId="18" fillId="0" borderId="64" xfId="4" applyFont="1" applyBorder="1" applyAlignment="1">
      <alignment horizontal="left"/>
    </xf>
    <xf numFmtId="49" fontId="18" fillId="0" borderId="29" xfId="4" applyNumberFormat="1" applyFont="1" applyBorder="1" applyAlignment="1">
      <alignment horizontal="left"/>
    </xf>
    <xf numFmtId="0" fontId="9" fillId="0" borderId="10" xfId="4" applyFont="1" applyBorder="1" applyAlignment="1">
      <alignment horizontal="center" vertical="center"/>
    </xf>
    <xf numFmtId="0" fontId="18" fillId="0" borderId="43" xfId="4" applyFont="1" applyBorder="1" applyAlignment="1">
      <alignment horizontal="left"/>
    </xf>
    <xf numFmtId="0" fontId="18" fillId="0" borderId="0" xfId="4" applyFont="1" applyAlignment="1">
      <alignment horizontal="left"/>
    </xf>
    <xf numFmtId="0" fontId="18" fillId="0" borderId="67" xfId="4" applyFont="1" applyBorder="1" applyAlignment="1">
      <alignment horizontal="left"/>
    </xf>
    <xf numFmtId="0" fontId="18" fillId="0" borderId="10" xfId="4" applyFont="1" applyBorder="1" applyAlignment="1">
      <alignment horizontal="left"/>
    </xf>
    <xf numFmtId="0" fontId="9" fillId="0" borderId="18" xfId="4" applyFont="1" applyBorder="1" applyAlignment="1">
      <alignment horizontal="left"/>
    </xf>
    <xf numFmtId="0" fontId="9" fillId="0" borderId="36" xfId="4" applyFont="1" applyBorder="1" applyAlignment="1">
      <alignment horizontal="left" vertical="center"/>
    </xf>
    <xf numFmtId="0" fontId="9" fillId="0" borderId="14" xfId="4" applyFont="1" applyBorder="1" applyAlignment="1">
      <alignment vertical="center"/>
    </xf>
    <xf numFmtId="0" fontId="9" fillId="0" borderId="43" xfId="4" applyFont="1" applyBorder="1" applyAlignment="1">
      <alignment vertical="center"/>
    </xf>
    <xf numFmtId="0" fontId="9" fillId="0" borderId="0" xfId="4" applyFont="1" applyAlignment="1">
      <alignment vertical="center"/>
    </xf>
    <xf numFmtId="0" fontId="9" fillId="0" borderId="29" xfId="4" applyFont="1" applyBorder="1" applyAlignment="1">
      <alignment vertical="center"/>
    </xf>
    <xf numFmtId="0" fontId="9" fillId="0" borderId="13" xfId="4" applyFont="1" applyBorder="1" applyAlignment="1">
      <alignment vertical="center"/>
    </xf>
    <xf numFmtId="0" fontId="9" fillId="0" borderId="10" xfId="4" applyFont="1" applyBorder="1" applyAlignment="1">
      <alignment horizontal="left"/>
    </xf>
    <xf numFmtId="0" fontId="18" fillId="0" borderId="18" xfId="4" applyFont="1" applyBorder="1" applyAlignment="1">
      <alignment horizontal="center"/>
    </xf>
    <xf numFmtId="0" fontId="18" fillId="0" borderId="11" xfId="4" applyFont="1" applyBorder="1" applyAlignment="1">
      <alignment horizontal="center"/>
    </xf>
    <xf numFmtId="0" fontId="18" fillId="0" borderId="4" xfId="4" applyFont="1" applyBorder="1" applyAlignment="1">
      <alignment horizontal="center"/>
    </xf>
    <xf numFmtId="0" fontId="9" fillId="0" borderId="18" xfId="4" applyFont="1" applyBorder="1" applyAlignment="1">
      <alignment horizontal="left" wrapText="1"/>
    </xf>
    <xf numFmtId="0" fontId="9" fillId="0" borderId="4" xfId="4" applyFont="1" applyBorder="1" applyAlignment="1">
      <alignment wrapText="1"/>
    </xf>
    <xf numFmtId="0" fontId="9" fillId="0" borderId="11" xfId="4" applyFont="1" applyBorder="1" applyAlignment="1">
      <alignment wrapText="1"/>
    </xf>
    <xf numFmtId="0" fontId="11" fillId="0" borderId="0" xfId="4" applyFont="1" applyAlignment="1">
      <alignment horizontal="center"/>
    </xf>
    <xf numFmtId="0" fontId="18" fillId="0" borderId="0" xfId="4" applyFont="1" applyAlignment="1">
      <alignment horizontal="center"/>
    </xf>
    <xf numFmtId="0" fontId="9" fillId="0" borderId="0" xfId="4" applyFont="1" applyAlignment="1">
      <alignment horizontal="left"/>
    </xf>
    <xf numFmtId="0" fontId="9" fillId="0" borderId="0" xfId="4" applyFont="1"/>
    <xf numFmtId="0" fontId="18" fillId="0" borderId="19" xfId="4" applyFont="1" applyBorder="1" applyAlignment="1">
      <alignment horizontal="center" vertical="center"/>
    </xf>
    <xf numFmtId="0" fontId="18" fillId="0" borderId="20" xfId="4" applyFont="1" applyBorder="1" applyAlignment="1">
      <alignment horizontal="center" vertical="center"/>
    </xf>
    <xf numFmtId="0" fontId="18" fillId="0" borderId="0" xfId="4" applyFont="1" applyAlignment="1">
      <alignment horizontal="center" vertical="center"/>
    </xf>
    <xf numFmtId="0" fontId="18" fillId="0" borderId="6" xfId="4" applyFont="1" applyBorder="1" applyAlignment="1">
      <alignment horizontal="center" vertical="center"/>
    </xf>
    <xf numFmtId="0" fontId="18" fillId="0" borderId="7" xfId="4" applyFont="1" applyBorder="1" applyAlignment="1">
      <alignment horizontal="center" vertical="center"/>
    </xf>
    <xf numFmtId="0" fontId="9" fillId="0" borderId="68" xfId="4" applyFont="1" applyBorder="1" applyAlignment="1">
      <alignment horizontal="center"/>
    </xf>
    <xf numFmtId="0" fontId="9" fillId="0" borderId="63" xfId="4" applyFont="1" applyBorder="1" applyAlignment="1">
      <alignment horizontal="center"/>
    </xf>
    <xf numFmtId="0" fontId="9" fillId="0" borderId="7" xfId="4" applyFont="1" applyBorder="1" applyAlignment="1">
      <alignment horizontal="left"/>
    </xf>
    <xf numFmtId="0" fontId="0" fillId="0" borderId="7" xfId="0" applyBorder="1"/>
    <xf numFmtId="0" fontId="9" fillId="0" borderId="10" xfId="4" applyFont="1" applyBorder="1"/>
    <xf numFmtId="0" fontId="9" fillId="0" borderId="36" xfId="4" applyFont="1" applyBorder="1" applyAlignment="1">
      <alignment horizontal="center" vertical="center"/>
    </xf>
    <xf numFmtId="0" fontId="9" fillId="0" borderId="66" xfId="4" applyFont="1" applyBorder="1" applyAlignment="1">
      <alignment horizontal="center" vertical="center"/>
    </xf>
    <xf numFmtId="0" fontId="9" fillId="0" borderId="29" xfId="4" applyFont="1" applyBorder="1" applyAlignment="1">
      <alignment horizontal="center" vertical="center"/>
    </xf>
    <xf numFmtId="0" fontId="9" fillId="0" borderId="64" xfId="4" applyFont="1" applyBorder="1" applyAlignment="1">
      <alignment horizontal="center" vertical="center"/>
    </xf>
    <xf numFmtId="0" fontId="9" fillId="0" borderId="14" xfId="4" applyFont="1" applyBorder="1" applyAlignment="1">
      <alignment horizontal="left" vertical="center"/>
    </xf>
    <xf numFmtId="0" fontId="9" fillId="0" borderId="66" xfId="4" applyFont="1" applyBorder="1" applyAlignment="1">
      <alignment horizontal="left" vertical="center"/>
    </xf>
    <xf numFmtId="0" fontId="9" fillId="0" borderId="29" xfId="4" applyFont="1" applyBorder="1" applyAlignment="1">
      <alignment horizontal="left" vertical="center"/>
    </xf>
    <xf numFmtId="0" fontId="9" fillId="0" borderId="13" xfId="4" applyFont="1" applyBorder="1" applyAlignment="1">
      <alignment horizontal="left" vertical="center"/>
    </xf>
    <xf numFmtId="0" fontId="9" fillId="0" borderId="64" xfId="4" applyFont="1" applyBorder="1" applyAlignment="1">
      <alignment horizontal="left" vertical="center"/>
    </xf>
    <xf numFmtId="0" fontId="9" fillId="0" borderId="10" xfId="4" applyFont="1" applyBorder="1" applyAlignment="1">
      <alignment horizontal="left" vertical="center"/>
    </xf>
    <xf numFmtId="0" fontId="9" fillId="0" borderId="36" xfId="4" applyFont="1" applyBorder="1" applyAlignment="1">
      <alignment vertical="center"/>
    </xf>
    <xf numFmtId="0" fontId="9" fillId="0" borderId="66" xfId="4" applyFont="1" applyBorder="1" applyAlignment="1">
      <alignment vertical="center"/>
    </xf>
    <xf numFmtId="0" fontId="9" fillId="0" borderId="64" xfId="4" applyFont="1" applyBorder="1" applyAlignment="1">
      <alignment vertical="center"/>
    </xf>
    <xf numFmtId="0" fontId="18" fillId="0" borderId="10" xfId="4" applyFont="1" applyBorder="1" applyAlignment="1">
      <alignment horizontal="left" vertical="center"/>
    </xf>
    <xf numFmtId="0" fontId="9" fillId="0" borderId="10" xfId="4" applyFont="1" applyBorder="1" applyAlignment="1">
      <alignment horizontal="left" vertical="center" wrapText="1"/>
    </xf>
    <xf numFmtId="0" fontId="18" fillId="0" borderId="10" xfId="4" applyFont="1" applyBorder="1" applyAlignment="1">
      <alignment horizontal="left" vertical="center" wrapText="1"/>
    </xf>
    <xf numFmtId="0" fontId="7" fillId="0" borderId="8" xfId="0" applyFont="1" applyBorder="1" applyAlignment="1">
      <alignment horizontal="right"/>
    </xf>
    <xf numFmtId="0" fontId="7" fillId="0" borderId="8" xfId="0" applyFont="1" applyBorder="1"/>
    <xf numFmtId="0" fontId="11" fillId="0" borderId="18" xfId="0" applyFont="1" applyBorder="1"/>
    <xf numFmtId="0" fontId="11" fillId="0" borderId="5" xfId="0" applyFont="1" applyBorder="1"/>
    <xf numFmtId="0" fontId="3" fillId="0" borderId="9" xfId="0" applyFont="1" applyBorder="1" applyAlignment="1">
      <alignment horizontal="left"/>
    </xf>
    <xf numFmtId="0" fontId="3" fillId="0" borderId="10" xfId="0" applyFont="1" applyBorder="1" applyAlignment="1">
      <alignment horizontal="left"/>
    </xf>
    <xf numFmtId="0" fontId="3" fillId="0" borderId="18"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11" fillId="0" borderId="4" xfId="0" applyFont="1" applyBorder="1" applyAlignment="1">
      <alignment horizontal="left"/>
    </xf>
    <xf numFmtId="0" fontId="8" fillId="2" borderId="15" xfId="0" applyFont="1" applyFill="1" applyBorder="1" applyAlignment="1">
      <alignment horizontal="center" vertical="center"/>
    </xf>
    <xf numFmtId="0" fontId="8" fillId="2" borderId="16" xfId="0" applyFont="1" applyFill="1" applyBorder="1" applyAlignment="1">
      <alignment horizontal="center" vertical="center"/>
    </xf>
    <xf numFmtId="0" fontId="8" fillId="2" borderId="17" xfId="0" applyFont="1" applyFill="1" applyBorder="1" applyAlignment="1">
      <alignment horizontal="center" vertical="center"/>
    </xf>
    <xf numFmtId="0" fontId="11" fillId="2" borderId="35" xfId="0" applyFont="1" applyFill="1" applyBorder="1"/>
    <xf numFmtId="0" fontId="11" fillId="2" borderId="17" xfId="0" applyFont="1" applyFill="1" applyBorder="1"/>
    <xf numFmtId="0" fontId="3" fillId="0" borderId="22" xfId="0" applyFont="1" applyBorder="1" applyAlignment="1">
      <alignment horizontal="right"/>
    </xf>
    <xf numFmtId="0" fontId="11" fillId="0" borderId="22" xfId="0" applyFont="1" applyBorder="1" applyAlignment="1">
      <alignment horizontal="right"/>
    </xf>
    <xf numFmtId="0" fontId="11" fillId="0" borderId="36" xfId="0" applyFont="1" applyBorder="1"/>
    <xf numFmtId="0" fontId="11" fillId="0" borderId="37" xfId="0" applyFont="1" applyBorder="1"/>
    <xf numFmtId="0" fontId="11" fillId="0" borderId="29" xfId="0" applyFont="1" applyBorder="1"/>
    <xf numFmtId="0" fontId="11" fillId="0" borderId="27" xfId="0" applyFont="1" applyBorder="1"/>
    <xf numFmtId="0" fontId="3" fillId="0" borderId="10" xfId="0" applyFont="1" applyBorder="1" applyAlignment="1">
      <alignment horizontal="right"/>
    </xf>
    <xf numFmtId="0" fontId="11" fillId="0" borderId="10" xfId="0" applyFont="1" applyBorder="1" applyAlignment="1">
      <alignment horizontal="right"/>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11" fillId="0" borderId="4" xfId="0" applyFont="1" applyBorder="1" applyAlignment="1">
      <alignment horizontal="right"/>
    </xf>
    <xf numFmtId="0" fontId="4" fillId="0" borderId="23" xfId="0" applyFont="1" applyBorder="1" applyAlignment="1">
      <alignment horizontal="center"/>
    </xf>
    <xf numFmtId="0" fontId="7" fillId="0" borderId="24" xfId="0" applyFont="1" applyBorder="1"/>
    <xf numFmtId="0" fontId="4" fillId="0" borderId="25" xfId="0" applyFont="1" applyBorder="1" applyAlignment="1">
      <alignment horizontal="center"/>
    </xf>
    <xf numFmtId="0" fontId="7" fillId="0" borderId="26" xfId="0" applyFont="1" applyBorder="1"/>
    <xf numFmtId="0" fontId="4" fillId="0" borderId="19" xfId="0" applyFont="1" applyBorder="1" applyAlignment="1">
      <alignment horizontal="center"/>
    </xf>
    <xf numFmtId="0" fontId="7" fillId="0" borderId="20" xfId="0" applyFont="1" applyBorder="1" applyAlignment="1">
      <alignment horizontal="center"/>
    </xf>
    <xf numFmtId="0" fontId="7" fillId="0" borderId="21" xfId="0" applyFont="1" applyBorder="1" applyAlignment="1">
      <alignment horizont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27" xfId="0" applyFont="1" applyBorder="1" applyAlignment="1">
      <alignment horizontal="center"/>
    </xf>
    <xf numFmtId="0" fontId="3" fillId="0" borderId="18" xfId="0" applyFont="1" applyBorder="1" applyAlignment="1">
      <alignment horizontal="right"/>
    </xf>
    <xf numFmtId="0" fontId="0" fillId="0" borderId="4" xfId="0" applyBorder="1"/>
    <xf numFmtId="0" fontId="0" fillId="0" borderId="11" xfId="0" applyBorder="1"/>
    <xf numFmtId="0" fontId="4" fillId="0" borderId="22" xfId="0" applyFont="1" applyBorder="1" applyAlignment="1">
      <alignment horizontal="center" wrapText="1"/>
    </xf>
    <xf numFmtId="0" fontId="7" fillId="0" borderId="10" xfId="0" applyFont="1" applyBorder="1" applyAlignment="1">
      <alignment wrapText="1"/>
    </xf>
    <xf numFmtId="0" fontId="4" fillId="0" borderId="28" xfId="0" applyFont="1" applyBorder="1" applyAlignment="1">
      <alignment horizontal="center" wrapText="1"/>
    </xf>
    <xf numFmtId="0" fontId="7" fillId="0" borderId="21" xfId="0" applyFont="1" applyBorder="1" applyAlignment="1">
      <alignment wrapText="1"/>
    </xf>
    <xf numFmtId="0" fontId="7" fillId="0" borderId="29" xfId="0" applyFont="1" applyBorder="1" applyAlignment="1">
      <alignment wrapText="1"/>
    </xf>
    <xf numFmtId="0" fontId="7" fillId="0" borderId="27" xfId="0" applyFont="1" applyBorder="1" applyAlignment="1">
      <alignment wrapText="1"/>
    </xf>
    <xf numFmtId="3" fontId="3" fillId="0" borderId="10" xfId="0" applyNumberFormat="1" applyFont="1" applyBorder="1" applyAlignment="1">
      <alignment horizontal="right"/>
    </xf>
    <xf numFmtId="0" fontId="11" fillId="0" borderId="10" xfId="0" applyFont="1" applyBorder="1"/>
    <xf numFmtId="0" fontId="4" fillId="2" borderId="33" xfId="0" applyFont="1" applyFill="1" applyBorder="1" applyAlignment="1">
      <alignment horizontal="right"/>
    </xf>
    <xf numFmtId="0" fontId="4" fillId="2" borderId="34" xfId="0" applyFont="1" applyFill="1" applyBorder="1" applyAlignment="1">
      <alignment horizontal="right"/>
    </xf>
    <xf numFmtId="0" fontId="4" fillId="2" borderId="35" xfId="0" applyFont="1" applyFill="1" applyBorder="1" applyAlignment="1">
      <alignment horizontal="right"/>
    </xf>
    <xf numFmtId="0" fontId="3" fillId="0" borderId="12" xfId="0" applyFont="1" applyBorder="1" applyAlignment="1">
      <alignment horizontal="left"/>
    </xf>
    <xf numFmtId="0" fontId="3" fillId="0" borderId="13" xfId="0" applyFont="1" applyBorder="1" applyAlignment="1">
      <alignment horizontal="left"/>
    </xf>
    <xf numFmtId="0" fontId="3" fillId="0" borderId="3" xfId="0" applyFont="1" applyBorder="1" applyAlignment="1">
      <alignment horizontal="left" wrapText="1"/>
    </xf>
    <xf numFmtId="0" fontId="3" fillId="0" borderId="4" xfId="0" applyFont="1" applyBorder="1" applyAlignment="1">
      <alignment horizontal="left" wrapText="1"/>
    </xf>
    <xf numFmtId="0" fontId="0" fillId="0" borderId="4" xfId="0" applyBorder="1" applyAlignment="1">
      <alignment horizontal="right"/>
    </xf>
    <xf numFmtId="0" fontId="0" fillId="0" borderId="11" xfId="0" applyBorder="1" applyAlignment="1">
      <alignment horizontal="right"/>
    </xf>
    <xf numFmtId="0" fontId="4" fillId="0" borderId="22" xfId="0" applyFont="1" applyBorder="1" applyAlignment="1">
      <alignment horizontal="center"/>
    </xf>
    <xf numFmtId="0" fontId="7" fillId="0" borderId="22" xfId="0" applyFont="1" applyBorder="1" applyAlignment="1">
      <alignment horizontal="center"/>
    </xf>
    <xf numFmtId="0" fontId="3" fillId="0" borderId="30" xfId="0" applyFont="1" applyBorder="1" applyAlignment="1">
      <alignment horizontal="left"/>
    </xf>
    <xf numFmtId="0" fontId="3" fillId="0" borderId="14" xfId="0" applyFont="1" applyBorder="1" applyAlignment="1">
      <alignment horizontal="left"/>
    </xf>
    <xf numFmtId="0" fontId="3" fillId="0" borderId="5" xfId="0" applyFont="1" applyBorder="1" applyAlignment="1">
      <alignment horizontal="left"/>
    </xf>
    <xf numFmtId="0" fontId="21" fillId="0" borderId="0" xfId="0" applyFont="1" applyAlignment="1">
      <alignment horizontal="right" vertical="center"/>
    </xf>
    <xf numFmtId="0" fontId="21" fillId="0" borderId="0" xfId="0" applyFont="1" applyAlignment="1">
      <alignment horizontal="right"/>
    </xf>
    <xf numFmtId="0" fontId="4" fillId="0" borderId="3" xfId="0" applyFont="1" applyBorder="1" applyAlignment="1">
      <alignment horizontal="right"/>
    </xf>
    <xf numFmtId="0" fontId="4" fillId="0" borderId="4" xfId="0" applyFont="1" applyBorder="1" applyAlignment="1">
      <alignment horizontal="right"/>
    </xf>
    <xf numFmtId="0" fontId="3" fillId="8" borderId="4" xfId="0" applyFont="1" applyFill="1" applyBorder="1" applyAlignment="1">
      <alignment horizontal="left"/>
    </xf>
    <xf numFmtId="165" fontId="3" fillId="8" borderId="8" xfId="0" applyNumberFormat="1" applyFont="1" applyFill="1" applyBorder="1" applyAlignment="1">
      <alignment horizontal="left"/>
    </xf>
    <xf numFmtId="0" fontId="11" fillId="8" borderId="8" xfId="0" applyFont="1" applyFill="1" applyBorder="1" applyAlignment="1">
      <alignment horizontal="left"/>
    </xf>
    <xf numFmtId="0" fontId="4" fillId="0" borderId="1" xfId="0" applyFont="1" applyBorder="1" applyAlignment="1">
      <alignment horizontal="right"/>
    </xf>
    <xf numFmtId="0" fontId="4" fillId="0" borderId="2" xfId="0" applyFont="1" applyBorder="1" applyAlignment="1">
      <alignment horizontal="right"/>
    </xf>
    <xf numFmtId="165" fontId="4" fillId="0" borderId="0" xfId="0" applyNumberFormat="1" applyFont="1" applyAlignment="1">
      <alignment horizontal="right"/>
    </xf>
    <xf numFmtId="0" fontId="11" fillId="0" borderId="0" xfId="0" applyFont="1" applyAlignment="1">
      <alignment horizontal="right"/>
    </xf>
    <xf numFmtId="0" fontId="3" fillId="8" borderId="2" xfId="0" applyFont="1" applyFill="1" applyBorder="1" applyAlignment="1">
      <alignment horizontal="left"/>
    </xf>
    <xf numFmtId="0" fontId="11" fillId="8" borderId="2" xfId="0" applyFont="1" applyFill="1" applyBorder="1" applyAlignment="1">
      <alignment horizontal="left"/>
    </xf>
    <xf numFmtId="0" fontId="11" fillId="8" borderId="4" xfId="0" applyFont="1" applyFill="1" applyBorder="1" applyAlignment="1">
      <alignment horizontal="left"/>
    </xf>
    <xf numFmtId="0" fontId="4" fillId="0" borderId="8" xfId="0" applyFont="1" applyBorder="1" applyAlignment="1">
      <alignment horizontal="right"/>
    </xf>
    <xf numFmtId="0" fontId="11" fillId="0" borderId="8" xfId="0" applyFont="1" applyBorder="1" applyAlignment="1">
      <alignment horizontal="right"/>
    </xf>
    <xf numFmtId="0" fontId="16" fillId="2" borderId="33" xfId="3" applyFont="1" applyFill="1" applyBorder="1" applyAlignment="1">
      <alignment horizontal="center" vertical="center"/>
    </xf>
    <xf numFmtId="0" fontId="16" fillId="2" borderId="34" xfId="3" applyFont="1" applyFill="1" applyBorder="1" applyAlignment="1">
      <alignment horizontal="center" vertical="center"/>
    </xf>
    <xf numFmtId="0" fontId="16" fillId="2" borderId="44" xfId="3" applyFont="1" applyFill="1" applyBorder="1" applyAlignment="1">
      <alignment horizontal="center" vertical="center"/>
    </xf>
    <xf numFmtId="0" fontId="14" fillId="0" borderId="29" xfId="3" applyFont="1" applyBorder="1" applyAlignment="1">
      <alignment horizontal="center" wrapText="1" readingOrder="1"/>
    </xf>
    <xf numFmtId="0" fontId="14" fillId="0" borderId="13" xfId="3" applyFont="1" applyBorder="1" applyAlignment="1">
      <alignment horizontal="center" wrapText="1" readingOrder="1"/>
    </xf>
    <xf numFmtId="0" fontId="14" fillId="0" borderId="64" xfId="3" applyFont="1" applyBorder="1" applyAlignment="1">
      <alignment horizontal="center" wrapText="1" readingOrder="1"/>
    </xf>
    <xf numFmtId="0" fontId="14" fillId="0" borderId="43" xfId="3" applyFont="1" applyBorder="1" applyAlignment="1">
      <alignment horizontal="center" wrapText="1"/>
    </xf>
    <xf numFmtId="0" fontId="11" fillId="0" borderId="29" xfId="0" applyFont="1" applyBorder="1" applyAlignment="1">
      <alignment horizontal="center" wrapText="1"/>
    </xf>
    <xf numFmtId="0" fontId="7" fillId="2" borderId="33" xfId="0" applyFont="1" applyFill="1" applyBorder="1" applyAlignment="1">
      <alignment horizontal="right"/>
    </xf>
    <xf numFmtId="0" fontId="7" fillId="2" borderId="34" xfId="0" applyFont="1" applyFill="1" applyBorder="1" applyAlignment="1">
      <alignment horizontal="right"/>
    </xf>
    <xf numFmtId="0" fontId="14" fillId="0" borderId="65" xfId="3" applyFont="1" applyBorder="1" applyAlignment="1">
      <alignment horizontal="center" wrapText="1" readingOrder="1"/>
    </xf>
    <xf numFmtId="0" fontId="0" fillId="0" borderId="41" xfId="0" applyBorder="1" applyAlignment="1">
      <alignment horizontal="center" wrapText="1" readingOrder="1"/>
    </xf>
    <xf numFmtId="0" fontId="14" fillId="0" borderId="86" xfId="3" applyFont="1" applyBorder="1" applyAlignment="1">
      <alignment horizontal="center" wrapText="1" readingOrder="1"/>
    </xf>
    <xf numFmtId="0" fontId="0" fillId="0" borderId="87" xfId="0" applyBorder="1" applyAlignment="1">
      <alignment horizontal="center" wrapText="1" readingOrder="1"/>
    </xf>
    <xf numFmtId="0" fontId="16" fillId="2" borderId="15" xfId="3" applyFont="1" applyFill="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0" fillId="0" borderId="17" xfId="0" applyBorder="1" applyAlignment="1">
      <alignment horizontal="center" vertical="center"/>
    </xf>
    <xf numFmtId="0" fontId="44" fillId="0" borderId="20" xfId="0" applyFont="1" applyBorder="1" applyAlignment="1">
      <alignment vertical="top" wrapText="1"/>
    </xf>
    <xf numFmtId="0" fontId="44" fillId="0" borderId="0" xfId="0" applyFont="1" applyAlignment="1">
      <alignment vertical="top" wrapText="1"/>
    </xf>
    <xf numFmtId="0" fontId="0" fillId="0" borderId="0" xfId="0" applyAlignment="1">
      <alignment vertical="top" wrapText="1"/>
    </xf>
    <xf numFmtId="175" fontId="14" fillId="0" borderId="65" xfId="3" applyNumberFormat="1" applyFont="1" applyBorder="1" applyAlignment="1">
      <alignment horizontal="center" wrapText="1" readingOrder="1"/>
    </xf>
    <xf numFmtId="175" fontId="0" fillId="0" borderId="41" xfId="0" applyNumberFormat="1" applyBorder="1" applyAlignment="1">
      <alignment horizontal="center" wrapText="1" readingOrder="1"/>
    </xf>
    <xf numFmtId="0" fontId="0" fillId="0" borderId="16" xfId="0" applyBorder="1"/>
    <xf numFmtId="0" fontId="0" fillId="0" borderId="17" xfId="0" applyBorder="1"/>
    <xf numFmtId="0" fontId="0" fillId="0" borderId="16" xfId="0" applyBorder="1" applyAlignment="1">
      <alignment horizontal="center" vertical="center"/>
    </xf>
    <xf numFmtId="0" fontId="14" fillId="0" borderId="115" xfId="3" applyFont="1" applyBorder="1" applyAlignment="1">
      <alignment horizontal="center"/>
    </xf>
    <xf numFmtId="0" fontId="11" fillId="0" borderId="116" xfId="0" applyFont="1" applyBorder="1" applyAlignment="1">
      <alignment horizontal="center"/>
    </xf>
    <xf numFmtId="0" fontId="7" fillId="0" borderId="38" xfId="0" applyFont="1" applyBorder="1" applyAlignment="1">
      <alignment horizontal="center"/>
    </xf>
    <xf numFmtId="0" fontId="7" fillId="0" borderId="22" xfId="0" applyFont="1" applyBorder="1" applyAlignment="1">
      <alignment horizontal="center" vertical="center"/>
    </xf>
    <xf numFmtId="0" fontId="7" fillId="0" borderId="39" xfId="0" applyFont="1" applyBorder="1" applyAlignment="1">
      <alignment horizontal="center"/>
    </xf>
    <xf numFmtId="0" fontId="7" fillId="0" borderId="45" xfId="0" applyFont="1" applyBorder="1" applyAlignment="1">
      <alignment horizontal="center"/>
    </xf>
    <xf numFmtId="0" fontId="16" fillId="2" borderId="19" xfId="3" applyFont="1" applyFill="1" applyBorder="1" applyAlignment="1">
      <alignment horizontal="center" vertical="center"/>
    </xf>
    <xf numFmtId="0" fontId="17" fillId="0" borderId="20" xfId="0" applyFont="1" applyBorder="1" applyAlignment="1">
      <alignment horizontal="center" vertical="center"/>
    </xf>
    <xf numFmtId="0" fontId="17" fillId="0" borderId="21" xfId="0" applyFont="1" applyBorder="1" applyAlignment="1">
      <alignment horizontal="center" vertic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48" xfId="0" applyFont="1" applyBorder="1" applyAlignment="1">
      <alignment horizontal="center" vertical="center"/>
    </xf>
    <xf numFmtId="0" fontId="3" fillId="0" borderId="18" xfId="0" applyFont="1" applyBorder="1"/>
    <xf numFmtId="0" fontId="9" fillId="0" borderId="4" xfId="0" applyFont="1" applyBorder="1"/>
    <xf numFmtId="0" fontId="9" fillId="0" borderId="54" xfId="0" applyFont="1" applyBorder="1"/>
    <xf numFmtId="0" fontId="4" fillId="0" borderId="99" xfId="0" applyFont="1" applyBorder="1" applyAlignment="1">
      <alignment horizontal="center" vertical="center"/>
    </xf>
    <xf numFmtId="0" fontId="0" fillId="0" borderId="100" xfId="0" applyBorder="1" applyAlignment="1">
      <alignment horizontal="center" vertical="center"/>
    </xf>
    <xf numFmtId="0" fontId="0" fillId="0" borderId="101" xfId="0" applyBorder="1" applyAlignment="1">
      <alignment horizontal="center" vertical="center"/>
    </xf>
    <xf numFmtId="0" fontId="0" fillId="0" borderId="18" xfId="0" applyBorder="1" applyAlignment="1">
      <alignment horizontal="left" wrapText="1"/>
    </xf>
    <xf numFmtId="0" fontId="0" fillId="0" borderId="4" xfId="0" applyBorder="1" applyAlignment="1">
      <alignment horizontal="left" wrapText="1"/>
    </xf>
    <xf numFmtId="0" fontId="0" fillId="0" borderId="54" xfId="0" applyBorder="1" applyAlignment="1">
      <alignment horizontal="left" wrapText="1"/>
    </xf>
    <xf numFmtId="0" fontId="4" fillId="0" borderId="95" xfId="0" applyFont="1" applyBorder="1" applyAlignment="1">
      <alignment horizontal="center" vertical="center"/>
    </xf>
    <xf numFmtId="0" fontId="0" fillId="0" borderId="42" xfId="0" applyBorder="1" applyAlignment="1">
      <alignment horizontal="center" vertical="center"/>
    </xf>
    <xf numFmtId="0" fontId="45" fillId="0" borderId="96" xfId="0" applyFont="1" applyBorder="1" applyAlignment="1">
      <alignment horizontal="left" vertical="center" wrapText="1"/>
    </xf>
    <xf numFmtId="0" fontId="46" fillId="0" borderId="97" xfId="0" applyFont="1" applyBorder="1" applyAlignment="1">
      <alignment horizontal="left" vertical="center" wrapText="1"/>
    </xf>
    <xf numFmtId="44" fontId="4" fillId="0" borderId="98" xfId="0" applyNumberFormat="1" applyFont="1" applyBorder="1" applyAlignment="1">
      <alignment horizontal="center" vertical="center"/>
    </xf>
    <xf numFmtId="0" fontId="0" fillId="0" borderId="26" xfId="0" applyBorder="1" applyAlignment="1">
      <alignment horizontal="center" vertical="center"/>
    </xf>
    <xf numFmtId="44" fontId="3" fillId="0" borderId="18" xfId="0" applyNumberFormat="1" applyFont="1" applyBorder="1"/>
    <xf numFmtId="0" fontId="3" fillId="7" borderId="55" xfId="0" applyFont="1" applyFill="1" applyBorder="1"/>
    <xf numFmtId="0" fontId="3" fillId="7" borderId="56" xfId="0" applyFont="1" applyFill="1" applyBorder="1"/>
    <xf numFmtId="0" fontId="3" fillId="7" borderId="57" xfId="0" applyFont="1" applyFill="1" applyBorder="1"/>
    <xf numFmtId="0" fontId="4" fillId="0" borderId="43" xfId="0" applyFont="1" applyBorder="1" applyAlignment="1">
      <alignment vertical="center" wrapText="1"/>
    </xf>
    <xf numFmtId="0" fontId="7" fillId="0" borderId="0" xfId="0" applyFont="1" applyAlignment="1">
      <alignment vertical="center" wrapText="1"/>
    </xf>
    <xf numFmtId="0" fontId="11" fillId="0" borderId="0" xfId="0" applyFont="1"/>
    <xf numFmtId="0" fontId="7" fillId="0" borderId="43" xfId="0" applyFont="1" applyBorder="1" applyAlignment="1">
      <alignment vertical="center" wrapText="1"/>
    </xf>
    <xf numFmtId="0" fontId="3" fillId="0" borderId="4" xfId="0" applyFont="1" applyBorder="1"/>
    <xf numFmtId="0" fontId="3" fillId="0" borderId="54" xfId="0" applyFont="1" applyBorder="1"/>
    <xf numFmtId="0" fontId="4" fillId="0" borderId="62" xfId="0" applyFont="1" applyBorder="1" applyAlignment="1">
      <alignment horizontal="right"/>
    </xf>
    <xf numFmtId="0" fontId="4" fillId="0" borderId="18" xfId="0" applyFont="1" applyBorder="1" applyAlignment="1">
      <alignment horizontal="right"/>
    </xf>
    <xf numFmtId="0" fontId="7" fillId="0" borderId="11" xfId="0" applyFont="1" applyBorder="1" applyAlignment="1">
      <alignment horizontal="right"/>
    </xf>
    <xf numFmtId="0" fontId="9" fillId="0" borderId="94" xfId="0" applyFont="1" applyBorder="1" applyAlignment="1">
      <alignment horizontal="left" wrapText="1"/>
    </xf>
    <xf numFmtId="0" fontId="9" fillId="0" borderId="94" xfId="0" applyFont="1" applyBorder="1" applyAlignment="1">
      <alignment wrapText="1"/>
    </xf>
    <xf numFmtId="0" fontId="9" fillId="0" borderId="102" xfId="0" applyFont="1" applyBorder="1" applyAlignment="1">
      <alignment wrapText="1"/>
    </xf>
    <xf numFmtId="0" fontId="9" fillId="0" borderId="111" xfId="0" applyFont="1" applyBorder="1" applyAlignment="1">
      <alignment horizontal="left"/>
    </xf>
    <xf numFmtId="0" fontId="9" fillId="0" borderId="112" xfId="0" applyFont="1" applyBorder="1" applyAlignment="1">
      <alignment horizontal="left"/>
    </xf>
    <xf numFmtId="0" fontId="9" fillId="0" borderId="113" xfId="0" applyFont="1" applyBorder="1" applyAlignment="1">
      <alignment horizontal="left"/>
    </xf>
    <xf numFmtId="0" fontId="4" fillId="0" borderId="103" xfId="0" applyFont="1" applyBorder="1" applyAlignment="1">
      <alignment horizontal="right"/>
    </xf>
    <xf numFmtId="0" fontId="0" fillId="0" borderId="104" xfId="0" applyBorder="1"/>
    <xf numFmtId="0" fontId="0" fillId="0" borderId="105" xfId="0" applyBorder="1"/>
    <xf numFmtId="0" fontId="9" fillId="0" borderId="104" xfId="0" applyFont="1" applyBorder="1" applyAlignment="1">
      <alignment horizontal="left"/>
    </xf>
    <xf numFmtId="0" fontId="9" fillId="0" borderId="104" xfId="0" applyFont="1" applyBorder="1"/>
    <xf numFmtId="0" fontId="9" fillId="0" borderId="107" xfId="0" applyFont="1" applyBorder="1"/>
    <xf numFmtId="44" fontId="3" fillId="0" borderId="18" xfId="0" applyNumberFormat="1" applyFont="1" applyBorder="1" applyAlignment="1">
      <alignment horizontal="left" wrapText="1"/>
    </xf>
    <xf numFmtId="44" fontId="3" fillId="0" borderId="4" xfId="0" applyNumberFormat="1" applyFont="1" applyBorder="1" applyAlignment="1">
      <alignment horizontal="left" wrapText="1"/>
    </xf>
    <xf numFmtId="44" fontId="3" fillId="0" borderId="54" xfId="0" applyNumberFormat="1" applyFont="1" applyBorder="1" applyAlignment="1">
      <alignment horizontal="left" wrapText="1"/>
    </xf>
    <xf numFmtId="44" fontId="3" fillId="0" borderId="108" xfId="0" applyNumberFormat="1" applyFont="1" applyBorder="1"/>
    <xf numFmtId="44" fontId="3" fillId="0" borderId="109" xfId="0" applyNumberFormat="1" applyFont="1" applyBorder="1"/>
    <xf numFmtId="44" fontId="3" fillId="0" borderId="110" xfId="0" applyNumberFormat="1" applyFont="1" applyBorder="1"/>
    <xf numFmtId="0" fontId="8" fillId="6" borderId="49" xfId="0" applyFont="1" applyFill="1" applyBorder="1" applyAlignment="1">
      <alignment horizontal="center" vertical="center"/>
    </xf>
    <xf numFmtId="0" fontId="8" fillId="6" borderId="50" xfId="0" applyFont="1" applyFill="1" applyBorder="1" applyAlignment="1">
      <alignment horizontal="center" vertical="center"/>
    </xf>
    <xf numFmtId="0" fontId="8" fillId="6" borderId="51" xfId="0" applyFont="1" applyFill="1" applyBorder="1" applyAlignment="1">
      <alignment horizontal="center" vertical="center"/>
    </xf>
    <xf numFmtId="0" fontId="4" fillId="0" borderId="18" xfId="0" applyFont="1" applyBorder="1" applyAlignment="1">
      <alignment horizontal="center"/>
    </xf>
    <xf numFmtId="0" fontId="4" fillId="0" borderId="4" xfId="0" applyFont="1" applyBorder="1" applyAlignment="1">
      <alignment horizontal="center"/>
    </xf>
    <xf numFmtId="0" fontId="4" fillId="0" borderId="54" xfId="0" applyFont="1" applyBorder="1" applyAlignment="1">
      <alignment horizontal="center"/>
    </xf>
    <xf numFmtId="0" fontId="4" fillId="0" borderId="52" xfId="0" applyFont="1" applyBorder="1" applyAlignment="1">
      <alignment horizontal="right"/>
    </xf>
    <xf numFmtId="0" fontId="0" fillId="0" borderId="13" xfId="0" applyBorder="1"/>
    <xf numFmtId="0" fontId="0" fillId="0" borderId="64" xfId="0" applyBorder="1"/>
    <xf numFmtId="0" fontId="9" fillId="0" borderId="14" xfId="0" applyFont="1" applyBorder="1" applyAlignment="1">
      <alignment horizontal="left"/>
    </xf>
    <xf numFmtId="0" fontId="9" fillId="0" borderId="14" xfId="0" applyFont="1" applyBorder="1"/>
    <xf numFmtId="0" fontId="9" fillId="0" borderId="61" xfId="0" applyFont="1" applyBorder="1"/>
    <xf numFmtId="0" fontId="3" fillId="7" borderId="62" xfId="0" applyFont="1" applyFill="1" applyBorder="1"/>
    <xf numFmtId="0" fontId="3" fillId="7" borderId="4" xfId="0" applyFont="1" applyFill="1" applyBorder="1"/>
    <xf numFmtId="0" fontId="3" fillId="7" borderId="54" xfId="0" applyFont="1" applyFill="1" applyBorder="1"/>
    <xf numFmtId="0" fontId="45" fillId="0" borderId="88" xfId="0" applyFont="1" applyBorder="1" applyAlignment="1">
      <alignment horizontal="left"/>
    </xf>
    <xf numFmtId="0" fontId="45" fillId="0" borderId="0" xfId="0" applyFont="1" applyAlignment="1">
      <alignment horizontal="left"/>
    </xf>
    <xf numFmtId="0" fontId="4" fillId="0" borderId="36" xfId="0" applyFont="1" applyBorder="1" applyAlignment="1">
      <alignment horizontal="center"/>
    </xf>
    <xf numFmtId="0" fontId="18" fillId="0" borderId="14" xfId="0" applyFont="1" applyBorder="1" applyAlignment="1">
      <alignment horizontal="center"/>
    </xf>
    <xf numFmtId="0" fontId="18" fillId="0" borderId="61" xfId="0" applyFont="1" applyBorder="1" applyAlignment="1">
      <alignment horizontal="center"/>
    </xf>
    <xf numFmtId="0" fontId="3" fillId="7" borderId="60" xfId="0" applyFont="1" applyFill="1" applyBorder="1"/>
    <xf numFmtId="0" fontId="3" fillId="7" borderId="14" xfId="0" applyFont="1" applyFill="1" applyBorder="1"/>
    <xf numFmtId="0" fontId="3" fillId="7" borderId="61" xfId="0" applyFont="1" applyFill="1" applyBorder="1"/>
    <xf numFmtId="0" fontId="18" fillId="0" borderId="4" xfId="0" applyFont="1" applyBorder="1" applyAlignment="1">
      <alignment horizontal="center"/>
    </xf>
    <xf numFmtId="0" fontId="18" fillId="0" borderId="54" xfId="0" applyFont="1" applyBorder="1" applyAlignment="1">
      <alignment horizontal="center"/>
    </xf>
    <xf numFmtId="0" fontId="23" fillId="0" borderId="0" xfId="4" applyFont="1" applyAlignment="1">
      <alignment horizontal="left" wrapText="1"/>
    </xf>
    <xf numFmtId="0" fontId="22" fillId="0" borderId="0" xfId="4" applyAlignment="1">
      <alignment wrapText="1"/>
    </xf>
    <xf numFmtId="14" fontId="24" fillId="0" borderId="0" xfId="4" applyNumberFormat="1" applyFont="1" applyAlignment="1">
      <alignment horizontal="left" wrapText="1"/>
    </xf>
    <xf numFmtId="14" fontId="25" fillId="0" borderId="0" xfId="4" applyNumberFormat="1" applyFont="1" applyAlignment="1">
      <alignment horizontal="right" wrapText="1"/>
    </xf>
    <xf numFmtId="0" fontId="26" fillId="0" borderId="0" xfId="4" applyFont="1" applyAlignment="1">
      <alignment horizontal="right" wrapText="1"/>
    </xf>
    <xf numFmtId="0" fontId="24" fillId="0" borderId="0" xfId="4" applyFont="1" applyAlignment="1">
      <alignment horizontal="right" wrapText="1"/>
    </xf>
    <xf numFmtId="0" fontId="9" fillId="0" borderId="0" xfId="4" applyFont="1" applyAlignment="1">
      <alignment horizontal="right" wrapText="1"/>
    </xf>
    <xf numFmtId="0" fontId="24" fillId="0" borderId="0" xfId="4" applyFont="1" applyAlignment="1">
      <alignment horizontal="left" wrapText="1"/>
    </xf>
    <xf numFmtId="164" fontId="24" fillId="0" borderId="0" xfId="4" applyNumberFormat="1" applyFont="1" applyAlignment="1">
      <alignment wrapText="1"/>
    </xf>
    <xf numFmtId="0" fontId="9" fillId="0" borderId="0" xfId="4" applyFont="1" applyAlignment="1">
      <alignment wrapText="1"/>
    </xf>
    <xf numFmtId="0" fontId="24" fillId="0" borderId="0" xfId="4" applyFont="1" applyAlignment="1">
      <alignment wrapText="1"/>
    </xf>
    <xf numFmtId="164" fontId="24" fillId="0" borderId="0" xfId="4" applyNumberFormat="1" applyFont="1" applyAlignment="1">
      <alignment horizontal="left" vertical="top" wrapText="1"/>
    </xf>
    <xf numFmtId="0" fontId="24" fillId="0" borderId="0" xfId="4" applyFont="1" applyAlignment="1">
      <alignment vertical="center" wrapText="1"/>
    </xf>
    <xf numFmtId="0" fontId="0" fillId="0" borderId="0" xfId="0" applyAlignment="1">
      <alignment vertical="center" wrapText="1"/>
    </xf>
    <xf numFmtId="0" fontId="9" fillId="0" borderId="0" xfId="4" applyFont="1" applyAlignment="1">
      <alignment vertical="center" wrapText="1"/>
    </xf>
    <xf numFmtId="0" fontId="0" fillId="0" borderId="0" xfId="0" applyAlignment="1">
      <alignment wrapText="1"/>
    </xf>
    <xf numFmtId="49" fontId="24" fillId="0" borderId="0" xfId="4" applyNumberFormat="1" applyFont="1"/>
    <xf numFmtId="0" fontId="25" fillId="0" borderId="0" xfId="4" applyFont="1" applyAlignment="1">
      <alignment wrapText="1"/>
    </xf>
    <xf numFmtId="49" fontId="24" fillId="3" borderId="0" xfId="4" applyNumberFormat="1" applyFont="1" applyFill="1" applyAlignment="1">
      <alignment wrapText="1"/>
    </xf>
    <xf numFmtId="0" fontId="3" fillId="0" borderId="0" xfId="4" applyFont="1" applyAlignment="1">
      <alignment horizontal="left" vertical="center" wrapText="1"/>
    </xf>
    <xf numFmtId="49" fontId="24" fillId="0" borderId="0" xfId="4" applyNumberFormat="1" applyFont="1" applyAlignment="1">
      <alignment wrapText="1"/>
    </xf>
    <xf numFmtId="0" fontId="9" fillId="3" borderId="0" xfId="4" applyFont="1" applyFill="1" applyAlignment="1">
      <alignment wrapText="1"/>
    </xf>
    <xf numFmtId="49" fontId="27" fillId="3" borderId="0" xfId="4" applyNumberFormat="1" applyFont="1" applyFill="1"/>
    <xf numFmtId="0" fontId="22" fillId="0" borderId="0" xfId="4"/>
    <xf numFmtId="49" fontId="24" fillId="3" borderId="0" xfId="4" applyNumberFormat="1" applyFont="1" applyFill="1"/>
    <xf numFmtId="0" fontId="24" fillId="0" borderId="0" xfId="4" quotePrefix="1" applyFont="1" applyAlignment="1">
      <alignment wrapText="1"/>
    </xf>
    <xf numFmtId="0" fontId="26" fillId="0" borderId="0" xfId="4" applyFont="1" applyAlignment="1">
      <alignment wrapText="1"/>
    </xf>
    <xf numFmtId="171" fontId="9" fillId="3" borderId="18" xfId="4" applyNumberFormat="1" applyFont="1" applyFill="1" applyBorder="1" applyAlignment="1">
      <alignment horizontal="left" wrapText="1"/>
    </xf>
    <xf numFmtId="0" fontId="0" fillId="0" borderId="11" xfId="0" applyBorder="1" applyAlignment="1">
      <alignment horizontal="left" wrapText="1"/>
    </xf>
    <xf numFmtId="0" fontId="22" fillId="0" borderId="0" xfId="4" applyAlignment="1">
      <alignment horizontal="left" wrapText="1"/>
    </xf>
    <xf numFmtId="0" fontId="0" fillId="0" borderId="0" xfId="0" applyAlignment="1">
      <alignment horizontal="left" wrapText="1"/>
    </xf>
    <xf numFmtId="0" fontId="28" fillId="0" borderId="120" xfId="4" applyFont="1" applyBorder="1" applyAlignment="1">
      <alignment horizontal="left" wrapText="1"/>
    </xf>
    <xf numFmtId="0" fontId="28" fillId="0" borderId="16" xfId="4" applyFont="1" applyBorder="1" applyAlignment="1">
      <alignment horizontal="left" wrapText="1"/>
    </xf>
    <xf numFmtId="0" fontId="9" fillId="0" borderId="16" xfId="4" applyFont="1" applyBorder="1" applyAlignment="1">
      <alignment wrapText="1"/>
    </xf>
    <xf numFmtId="0" fontId="30" fillId="0" borderId="122" xfId="4" applyFont="1" applyBorder="1" applyAlignment="1">
      <alignment horizontal="left" wrapText="1"/>
    </xf>
    <xf numFmtId="0" fontId="30" fillId="0" borderId="123" xfId="4" applyFont="1" applyBorder="1" applyAlignment="1">
      <alignment horizontal="left" wrapText="1"/>
    </xf>
    <xf numFmtId="0" fontId="31" fillId="0" borderId="123" xfId="4" applyFont="1" applyBorder="1" applyAlignment="1">
      <alignment wrapText="1"/>
    </xf>
    <xf numFmtId="0" fontId="9" fillId="0" borderId="124" xfId="4" applyFont="1" applyBorder="1" applyAlignment="1">
      <alignment wrapText="1"/>
    </xf>
    <xf numFmtId="0" fontId="3" fillId="0" borderId="70" xfId="4" applyFont="1" applyBorder="1" applyAlignment="1">
      <alignment horizontal="center" wrapText="1"/>
    </xf>
    <xf numFmtId="0" fontId="22" fillId="0" borderId="70" xfId="4" applyBorder="1" applyAlignment="1">
      <alignment wrapText="1"/>
    </xf>
    <xf numFmtId="0" fontId="0" fillId="0" borderId="16" xfId="0" applyBorder="1" applyAlignment="1">
      <alignment wrapText="1"/>
    </xf>
    <xf numFmtId="0" fontId="25" fillId="0" borderId="0" xfId="4" applyFont="1" applyAlignment="1">
      <alignment vertical="center" wrapText="1"/>
    </xf>
    <xf numFmtId="0" fontId="28" fillId="0" borderId="117" xfId="4" applyFont="1" applyBorder="1" applyAlignment="1">
      <alignment horizontal="left" wrapText="1"/>
    </xf>
    <xf numFmtId="0" fontId="28" fillId="0" borderId="118" xfId="4" applyFont="1" applyBorder="1" applyAlignment="1">
      <alignment horizontal="left" wrapText="1"/>
    </xf>
    <xf numFmtId="0" fontId="9" fillId="0" borderId="118" xfId="4" applyFont="1" applyBorder="1" applyAlignment="1">
      <alignment wrapText="1"/>
    </xf>
    <xf numFmtId="0" fontId="0" fillId="0" borderId="119" xfId="0" applyBorder="1" applyAlignment="1">
      <alignment wrapText="1"/>
    </xf>
    <xf numFmtId="0" fontId="36" fillId="0" borderId="0" xfId="0" applyFont="1" applyAlignment="1">
      <alignment horizontal="right" vertical="top" wrapText="1"/>
    </xf>
    <xf numFmtId="0" fontId="9" fillId="0" borderId="0" xfId="0" applyFont="1" applyAlignment="1">
      <alignment horizontal="right" vertical="top" wrapText="1"/>
    </xf>
    <xf numFmtId="0" fontId="36" fillId="0" borderId="0" xfId="0" applyFont="1" applyAlignment="1">
      <alignment horizontal="left" vertical="top" wrapText="1"/>
    </xf>
    <xf numFmtId="0" fontId="34" fillId="0" borderId="0" xfId="4" applyFont="1" applyAlignment="1">
      <alignment horizontal="center" vertical="center" wrapText="1"/>
    </xf>
    <xf numFmtId="0" fontId="4" fillId="0" borderId="0" xfId="0" applyFont="1" applyAlignment="1">
      <alignment horizontal="center" wrapText="1"/>
    </xf>
    <xf numFmtId="0" fontId="4" fillId="0" borderId="0" xfId="0" applyFont="1" applyAlignment="1">
      <alignment horizontal="left" wrapText="1"/>
    </xf>
    <xf numFmtId="0" fontId="38" fillId="0" borderId="0" xfId="0" applyFont="1" applyAlignment="1">
      <alignment wrapText="1"/>
    </xf>
    <xf numFmtId="0" fontId="32" fillId="0" borderId="0" xfId="4" applyFont="1" applyAlignment="1">
      <alignment horizontal="right" wrapText="1"/>
    </xf>
    <xf numFmtId="0" fontId="3" fillId="0" borderId="0" xfId="4" applyFont="1" applyAlignment="1">
      <alignment horizontal="right" wrapText="1"/>
    </xf>
    <xf numFmtId="0" fontId="22" fillId="0" borderId="0" xfId="4" applyAlignment="1">
      <alignment horizontal="right" wrapText="1"/>
    </xf>
    <xf numFmtId="0" fontId="32" fillId="0" borderId="0" xfId="4" applyFont="1" applyAlignment="1">
      <alignment horizontal="left" wrapText="1"/>
    </xf>
    <xf numFmtId="0" fontId="39" fillId="0" borderId="0" xfId="0" applyFont="1" applyAlignment="1">
      <alignment horizontal="left" vertical="top" wrapText="1"/>
    </xf>
    <xf numFmtId="0" fontId="32" fillId="0" borderId="0" xfId="4" applyFont="1" applyAlignment="1">
      <alignment wrapText="1"/>
    </xf>
    <xf numFmtId="0" fontId="0" fillId="0" borderId="0" xfId="0" applyAlignment="1">
      <alignment horizontal="center" wrapText="1"/>
    </xf>
    <xf numFmtId="0" fontId="36" fillId="0" borderId="0" xfId="0" applyFont="1" applyAlignment="1">
      <alignment vertical="top" wrapText="1"/>
    </xf>
    <xf numFmtId="0" fontId="38" fillId="0" borderId="0" xfId="0" applyFont="1" applyAlignment="1">
      <alignment horizontal="left" wrapText="1"/>
    </xf>
    <xf numFmtId="0" fontId="36" fillId="3" borderId="0" xfId="0" applyFont="1" applyFill="1" applyAlignment="1">
      <alignment horizontal="left" vertical="top" wrapText="1"/>
    </xf>
    <xf numFmtId="0" fontId="3" fillId="0" borderId="0" xfId="0" applyFont="1" applyAlignment="1">
      <alignment vertical="top" wrapText="1"/>
    </xf>
    <xf numFmtId="0" fontId="3" fillId="0" borderId="13" xfId="0" applyFont="1" applyBorder="1" applyAlignment="1">
      <alignment horizontal="left" wrapText="1"/>
    </xf>
    <xf numFmtId="0" fontId="3" fillId="0" borderId="14" xfId="0" applyFont="1" applyBorder="1" applyAlignment="1">
      <alignment vertical="top" wrapText="1"/>
    </xf>
    <xf numFmtId="0" fontId="3" fillId="0" borderId="14" xfId="0" applyFont="1" applyBorder="1" applyAlignment="1">
      <alignment horizontal="left" wrapText="1"/>
    </xf>
    <xf numFmtId="0" fontId="3" fillId="0" borderId="80" xfId="4" applyFont="1" applyBorder="1" applyAlignment="1">
      <alignment horizontal="right"/>
    </xf>
    <xf numFmtId="0" fontId="3" fillId="0" borderId="81" xfId="4" applyFont="1" applyBorder="1" applyAlignment="1">
      <alignment horizontal="right"/>
    </xf>
    <xf numFmtId="0" fontId="3" fillId="0" borderId="81" xfId="4" applyFont="1" applyBorder="1" applyAlignment="1">
      <alignment horizontal="center"/>
    </xf>
    <xf numFmtId="0" fontId="43" fillId="0" borderId="83" xfId="4" applyFont="1" applyBorder="1" applyAlignment="1">
      <alignment horizontal="center"/>
    </xf>
    <xf numFmtId="0" fontId="43" fillId="0" borderId="84" xfId="4" applyFont="1" applyBorder="1" applyAlignment="1">
      <alignment horizontal="center"/>
    </xf>
    <xf numFmtId="0" fontId="43" fillId="0" borderId="85" xfId="4" applyFont="1" applyBorder="1" applyAlignment="1">
      <alignment horizontal="center"/>
    </xf>
    <xf numFmtId="0" fontId="4" fillId="0" borderId="73" xfId="4" applyFont="1" applyBorder="1" applyAlignment="1">
      <alignment horizontal="center" vertical="top"/>
    </xf>
    <xf numFmtId="0" fontId="4" fillId="0" borderId="69" xfId="4" applyFont="1" applyBorder="1" applyAlignment="1">
      <alignment horizontal="center" vertical="top"/>
    </xf>
    <xf numFmtId="0" fontId="4" fillId="0" borderId="74" xfId="4" applyFont="1" applyBorder="1" applyAlignment="1">
      <alignment horizontal="center" vertical="top"/>
    </xf>
    <xf numFmtId="0" fontId="40" fillId="0" borderId="71" xfId="4" applyFont="1" applyBorder="1" applyAlignment="1">
      <alignment horizontal="center"/>
    </xf>
    <xf numFmtId="0" fontId="40" fillId="0" borderId="0" xfId="4" applyFont="1" applyAlignment="1">
      <alignment horizontal="center"/>
    </xf>
    <xf numFmtId="0" fontId="3" fillId="0" borderId="77" xfId="4" applyFont="1" applyBorder="1" applyAlignment="1">
      <alignment horizontal="right"/>
    </xf>
    <xf numFmtId="0" fontId="9" fillId="0" borderId="78" xfId="4" applyFont="1" applyBorder="1" applyAlignment="1">
      <alignment horizontal="right"/>
    </xf>
    <xf numFmtId="0" fontId="3" fillId="0" borderId="78" xfId="4" applyFont="1" applyBorder="1" applyAlignment="1">
      <alignment horizontal="center"/>
    </xf>
    <xf numFmtId="0" fontId="9" fillId="0" borderId="78" xfId="4" applyFont="1" applyBorder="1" applyAlignment="1">
      <alignment horizontal="center"/>
    </xf>
    <xf numFmtId="0" fontId="22" fillId="0" borderId="81" xfId="4" applyBorder="1" applyAlignment="1">
      <alignment horizontal="center"/>
    </xf>
    <xf numFmtId="0" fontId="3" fillId="0" borderId="81" xfId="4" applyFont="1" applyBorder="1" applyAlignment="1">
      <alignment horizontal="left"/>
    </xf>
    <xf numFmtId="0" fontId="9" fillId="0" borderId="81" xfId="4" applyFont="1" applyBorder="1" applyAlignment="1">
      <alignment horizontal="right"/>
    </xf>
    <xf numFmtId="0" fontId="0" fillId="0" borderId="81" xfId="0" applyBorder="1" applyAlignment="1">
      <alignment horizontal="right"/>
    </xf>
    <xf numFmtId="0" fontId="9" fillId="0" borderId="81" xfId="4" applyFont="1" applyBorder="1" applyAlignment="1">
      <alignment horizontal="center"/>
    </xf>
    <xf numFmtId="0" fontId="41" fillId="0" borderId="0" xfId="4" applyFont="1" applyAlignment="1">
      <alignment horizontal="right"/>
    </xf>
    <xf numFmtId="0" fontId="42" fillId="0" borderId="0" xfId="0" applyFont="1" applyAlignment="1">
      <alignment horizontal="right"/>
    </xf>
    <xf numFmtId="0" fontId="4" fillId="0" borderId="73" xfId="4" applyFont="1" applyBorder="1" applyAlignment="1">
      <alignment horizontal="right"/>
    </xf>
    <xf numFmtId="0" fontId="7" fillId="0" borderId="69" xfId="0" applyFont="1" applyBorder="1" applyAlignment="1">
      <alignment horizontal="right"/>
    </xf>
    <xf numFmtId="0" fontId="4" fillId="0" borderId="76" xfId="4" applyFont="1" applyBorder="1" applyAlignment="1">
      <alignment horizontal="right"/>
    </xf>
    <xf numFmtId="0" fontId="9" fillId="0" borderId="75" xfId="4" applyFont="1" applyBorder="1" applyAlignment="1">
      <alignment horizontal="right"/>
    </xf>
    <xf numFmtId="0" fontId="3" fillId="0" borderId="71" xfId="4" applyFont="1" applyBorder="1" applyAlignment="1">
      <alignment horizontal="right"/>
    </xf>
    <xf numFmtId="0" fontId="9" fillId="0" borderId="0" xfId="4" applyFont="1" applyAlignment="1">
      <alignment horizontal="right"/>
    </xf>
    <xf numFmtId="0" fontId="3" fillId="0" borderId="0" xfId="4" applyFont="1" applyAlignment="1">
      <alignment horizontal="center"/>
    </xf>
    <xf numFmtId="0" fontId="9" fillId="0" borderId="0" xfId="4" applyFont="1" applyAlignment="1">
      <alignment horizontal="center"/>
    </xf>
    <xf numFmtId="0" fontId="4" fillId="0" borderId="83" xfId="4" applyFont="1" applyBorder="1" applyAlignment="1">
      <alignment horizontal="right"/>
    </xf>
    <xf numFmtId="0" fontId="18" fillId="0" borderId="84" xfId="4" applyFont="1" applyBorder="1" applyAlignment="1">
      <alignment horizontal="right"/>
    </xf>
    <xf numFmtId="0" fontId="11" fillId="0" borderId="10" xfId="4" applyFont="1" applyBorder="1" applyAlignment="1">
      <alignment wrapText="1"/>
    </xf>
    <xf numFmtId="0" fontId="9" fillId="0" borderId="10" xfId="4" applyFont="1" applyBorder="1" applyAlignment="1">
      <alignment wrapText="1"/>
    </xf>
    <xf numFmtId="0" fontId="22" fillId="0" borderId="10" xfId="4" applyBorder="1" applyAlignment="1">
      <alignment wrapText="1"/>
    </xf>
    <xf numFmtId="0" fontId="18" fillId="0" borderId="10" xfId="4" applyFont="1" applyBorder="1" applyAlignment="1">
      <alignment vertical="center" wrapText="1"/>
    </xf>
    <xf numFmtId="0" fontId="11" fillId="0" borderId="10" xfId="4" applyFont="1" applyBorder="1" applyAlignment="1">
      <alignment horizontal="left" vertical="top" wrapText="1"/>
    </xf>
    <xf numFmtId="0" fontId="9" fillId="0" borderId="10" xfId="4" applyFont="1" applyBorder="1" applyAlignment="1">
      <alignment horizontal="left" vertical="top" wrapText="1"/>
    </xf>
    <xf numFmtId="0" fontId="11" fillId="0" borderId="10" xfId="4" applyFont="1" applyBorder="1" applyAlignment="1">
      <alignment vertical="top" wrapText="1"/>
    </xf>
    <xf numFmtId="0" fontId="9" fillId="0" borderId="10" xfId="4" applyFont="1" applyBorder="1" applyAlignment="1">
      <alignment vertical="top" wrapText="1"/>
    </xf>
    <xf numFmtId="0" fontId="18" fillId="0" borderId="10" xfId="4" applyFont="1" applyBorder="1" applyAlignment="1">
      <alignment wrapText="1"/>
    </xf>
    <xf numFmtId="3" fontId="9" fillId="0" borderId="44" xfId="4" applyNumberFormat="1" applyFont="1" applyBorder="1"/>
  </cellXfs>
  <cellStyles count="5">
    <cellStyle name="Hyperlink" xfId="2" builtinId="8"/>
    <cellStyle name="Normal" xfId="0" builtinId="0"/>
    <cellStyle name="Normal 2" xfId="4" xr:uid="{7F04B8A9-67E5-4896-AB67-8D6817CA5056}"/>
    <cellStyle name="Normal 3" xfId="3" xr:uid="{9539DF27-A8C1-41F9-B695-DDBCD9C64036}"/>
    <cellStyle name="Percent" xfId="1" builtinId="5"/>
  </cellStyles>
  <dxfs count="0"/>
  <tableStyles count="0" defaultTableStyle="TableStyleMedium2" defaultPivotStyle="PivotStyleLight16"/>
  <colors>
    <mruColors>
      <color rgb="FFCCFF99"/>
      <color rgb="FFFF5050"/>
      <color rgb="FFFF6600"/>
      <color rgb="FFCC9900"/>
      <color rgb="FF996633"/>
      <color rgb="FF0000FF"/>
      <color rgb="FF80D828"/>
      <color rgb="FFFFCC66"/>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8.svg"/><Relationship Id="rId1" Type="http://schemas.openxmlformats.org/officeDocument/2006/relationships/image" Target="../media/image7.pn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3</xdr:col>
      <xdr:colOff>478939</xdr:colOff>
      <xdr:row>3</xdr:row>
      <xdr:rowOff>182685</xdr:rowOff>
    </xdr:from>
    <xdr:to>
      <xdr:col>4</xdr:col>
      <xdr:colOff>564569</xdr:colOff>
      <xdr:row>6</xdr:row>
      <xdr:rowOff>71682</xdr:rowOff>
    </xdr:to>
    <xdr:pic>
      <xdr:nvPicPr>
        <xdr:cNvPr id="2" name="Picture 1">
          <a:extLst>
            <a:ext uri="{FF2B5EF4-FFF2-40B4-BE49-F238E27FC236}">
              <a16:creationId xmlns:a16="http://schemas.microsoft.com/office/drawing/2014/main" id="{CAD8A259-CE5A-471B-954D-5192DABA832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069" t="17080" r="5506" b="16824"/>
        <a:stretch/>
      </xdr:blipFill>
      <xdr:spPr>
        <a:xfrm>
          <a:off x="2967345" y="789904"/>
          <a:ext cx="1288162" cy="496216"/>
        </a:xfrm>
        <a:prstGeom prst="rect">
          <a:avLst/>
        </a:prstGeom>
      </xdr:spPr>
    </xdr:pic>
    <xdr:clientData/>
  </xdr:twoCellAnchor>
  <xdr:twoCellAnchor editAs="oneCell">
    <xdr:from>
      <xdr:col>0</xdr:col>
      <xdr:colOff>1</xdr:colOff>
      <xdr:row>0</xdr:row>
      <xdr:rowOff>21165</xdr:rowOff>
    </xdr:from>
    <xdr:to>
      <xdr:col>3</xdr:col>
      <xdr:colOff>18792</xdr:colOff>
      <xdr:row>6</xdr:row>
      <xdr:rowOff>115118</xdr:rowOff>
    </xdr:to>
    <xdr:pic>
      <xdr:nvPicPr>
        <xdr:cNvPr id="3" name="Picture 2">
          <a:extLst>
            <a:ext uri="{FF2B5EF4-FFF2-40B4-BE49-F238E27FC236}">
              <a16:creationId xmlns:a16="http://schemas.microsoft.com/office/drawing/2014/main" id="{849C20C2-C33D-4F8A-AA5B-5D77D55C82D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389" t="10735" r="5269" b="11141"/>
        <a:stretch/>
      </xdr:blipFill>
      <xdr:spPr>
        <a:xfrm>
          <a:off x="1" y="21165"/>
          <a:ext cx="2462089" cy="12826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40106</xdr:colOff>
      <xdr:row>3</xdr:row>
      <xdr:rowOff>44170</xdr:rowOff>
    </xdr:from>
    <xdr:to>
      <xdr:col>11</xdr:col>
      <xdr:colOff>103804</xdr:colOff>
      <xdr:row>5</xdr:row>
      <xdr:rowOff>88916</xdr:rowOff>
    </xdr:to>
    <xdr:pic>
      <xdr:nvPicPr>
        <xdr:cNvPr id="2" name="Picture 1">
          <a:extLst>
            <a:ext uri="{FF2B5EF4-FFF2-40B4-BE49-F238E27FC236}">
              <a16:creationId xmlns:a16="http://schemas.microsoft.com/office/drawing/2014/main" id="{7E48A5D6-CE86-4724-8386-72630391657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069" t="17080" r="5506" b="16824"/>
        <a:stretch/>
      </xdr:blipFill>
      <xdr:spPr>
        <a:xfrm>
          <a:off x="2332910" y="615670"/>
          <a:ext cx="944762" cy="360431"/>
        </a:xfrm>
        <a:prstGeom prst="rect">
          <a:avLst/>
        </a:prstGeom>
      </xdr:spPr>
    </xdr:pic>
    <xdr:clientData/>
  </xdr:twoCellAnchor>
  <xdr:twoCellAnchor editAs="oneCell">
    <xdr:from>
      <xdr:col>0</xdr:col>
      <xdr:colOff>7938</xdr:colOff>
      <xdr:row>0</xdr:row>
      <xdr:rowOff>15875</xdr:rowOff>
    </xdr:from>
    <xdr:to>
      <xdr:col>9</xdr:col>
      <xdr:colOff>40419</xdr:colOff>
      <xdr:row>6</xdr:row>
      <xdr:rowOff>12085</xdr:rowOff>
    </xdr:to>
    <xdr:pic>
      <xdr:nvPicPr>
        <xdr:cNvPr id="3" name="Picture 2">
          <a:extLst>
            <a:ext uri="{FF2B5EF4-FFF2-40B4-BE49-F238E27FC236}">
              <a16:creationId xmlns:a16="http://schemas.microsoft.com/office/drawing/2014/main" id="{D9ED8B7C-A005-43A0-9950-FA488DFA257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3095" b="9242"/>
        <a:stretch/>
      </xdr:blipFill>
      <xdr:spPr>
        <a:xfrm>
          <a:off x="7938" y="15875"/>
          <a:ext cx="2352499" cy="10262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722119" cy="914872"/>
    <xdr:pic>
      <xdr:nvPicPr>
        <xdr:cNvPr id="2" name="Picture 1">
          <a:extLst>
            <a:ext uri="{FF2B5EF4-FFF2-40B4-BE49-F238E27FC236}">
              <a16:creationId xmlns:a16="http://schemas.microsoft.com/office/drawing/2014/main" id="{5F020AA9-0F58-4DA1-A4AA-9BE6789EC22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389" t="10735" r="5269" b="11141"/>
        <a:stretch/>
      </xdr:blipFill>
      <xdr:spPr>
        <a:xfrm>
          <a:off x="0" y="0"/>
          <a:ext cx="1722119" cy="914872"/>
        </a:xfrm>
        <a:prstGeom prst="rect">
          <a:avLst/>
        </a:prstGeom>
      </xdr:spPr>
    </xdr:pic>
    <xdr:clientData/>
  </xdr:oneCellAnchor>
  <xdr:oneCellAnchor>
    <xdr:from>
      <xdr:col>4</xdr:col>
      <xdr:colOff>52977</xdr:colOff>
      <xdr:row>2</xdr:row>
      <xdr:rowOff>8255</xdr:rowOff>
    </xdr:from>
    <xdr:ext cx="1024704" cy="387354"/>
    <xdr:pic>
      <xdr:nvPicPr>
        <xdr:cNvPr id="3" name="Picture 2">
          <a:extLst>
            <a:ext uri="{FF2B5EF4-FFF2-40B4-BE49-F238E27FC236}">
              <a16:creationId xmlns:a16="http://schemas.microsoft.com/office/drawing/2014/main" id="{424651B2-5493-43CD-856F-1F64E8BB35C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7069" t="17080" r="5506" b="16824"/>
        <a:stretch/>
      </xdr:blipFill>
      <xdr:spPr>
        <a:xfrm>
          <a:off x="2057037" y="511175"/>
          <a:ext cx="1024704" cy="387354"/>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13</xdr:col>
      <xdr:colOff>114300</xdr:colOff>
      <xdr:row>4</xdr:row>
      <xdr:rowOff>0</xdr:rowOff>
    </xdr:from>
    <xdr:ext cx="243840" cy="230505"/>
    <xdr:pic>
      <xdr:nvPicPr>
        <xdr:cNvPr id="2" name="Graphic 1" descr="Checkmark outline">
          <a:extLst>
            <a:ext uri="{FF2B5EF4-FFF2-40B4-BE49-F238E27FC236}">
              <a16:creationId xmlns:a16="http://schemas.microsoft.com/office/drawing/2014/main" id="{A5A5FE47-8997-4870-B353-57AC8A3008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791450" y="723900"/>
          <a:ext cx="243840" cy="230505"/>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13</xdr:col>
          <xdr:colOff>190500</xdr:colOff>
          <xdr:row>5</xdr:row>
          <xdr:rowOff>152400</xdr:rowOff>
        </xdr:from>
        <xdr:to>
          <xdr:col>13</xdr:col>
          <xdr:colOff>361950</xdr:colOff>
          <xdr:row>7</xdr:row>
          <xdr:rowOff>19050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B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190500</xdr:colOff>
          <xdr:row>12</xdr:row>
          <xdr:rowOff>200025</xdr:rowOff>
        </xdr:from>
        <xdr:to>
          <xdr:col>13</xdr:col>
          <xdr:colOff>361950</xdr:colOff>
          <xdr:row>14</xdr:row>
          <xdr:rowOff>57150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B00-00000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190500</xdr:colOff>
          <xdr:row>16</xdr:row>
          <xdr:rowOff>200025</xdr:rowOff>
        </xdr:from>
        <xdr:to>
          <xdr:col>13</xdr:col>
          <xdr:colOff>361950</xdr:colOff>
          <xdr:row>18</xdr:row>
          <xdr:rowOff>57150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B00-00000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190500</xdr:colOff>
          <xdr:row>12</xdr:row>
          <xdr:rowOff>200025</xdr:rowOff>
        </xdr:from>
        <xdr:to>
          <xdr:col>14</xdr:col>
          <xdr:colOff>361950</xdr:colOff>
          <xdr:row>14</xdr:row>
          <xdr:rowOff>57150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B00-00000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190500</xdr:colOff>
          <xdr:row>16</xdr:row>
          <xdr:rowOff>200025</xdr:rowOff>
        </xdr:from>
        <xdr:to>
          <xdr:col>13</xdr:col>
          <xdr:colOff>361950</xdr:colOff>
          <xdr:row>18</xdr:row>
          <xdr:rowOff>57150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B00-00000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190500</xdr:colOff>
          <xdr:row>16</xdr:row>
          <xdr:rowOff>200025</xdr:rowOff>
        </xdr:from>
        <xdr:to>
          <xdr:col>14</xdr:col>
          <xdr:colOff>361950</xdr:colOff>
          <xdr:row>18</xdr:row>
          <xdr:rowOff>57150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B00-00000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19</xdr:row>
          <xdr:rowOff>85725</xdr:rowOff>
        </xdr:from>
        <xdr:to>
          <xdr:col>13</xdr:col>
          <xdr:colOff>361950</xdr:colOff>
          <xdr:row>21</xdr:row>
          <xdr:rowOff>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B00-00000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180975</xdr:colOff>
          <xdr:row>19</xdr:row>
          <xdr:rowOff>85725</xdr:rowOff>
        </xdr:from>
        <xdr:to>
          <xdr:col>14</xdr:col>
          <xdr:colOff>361950</xdr:colOff>
          <xdr:row>21</xdr:row>
          <xdr:rowOff>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B00-00000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23</xdr:row>
          <xdr:rowOff>85725</xdr:rowOff>
        </xdr:from>
        <xdr:to>
          <xdr:col>13</xdr:col>
          <xdr:colOff>361950</xdr:colOff>
          <xdr:row>25</xdr:row>
          <xdr:rowOff>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B00-00000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180975</xdr:colOff>
          <xdr:row>23</xdr:row>
          <xdr:rowOff>85725</xdr:rowOff>
        </xdr:from>
        <xdr:to>
          <xdr:col>14</xdr:col>
          <xdr:colOff>361950</xdr:colOff>
          <xdr:row>25</xdr:row>
          <xdr:rowOff>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B00-00000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25</xdr:row>
          <xdr:rowOff>85725</xdr:rowOff>
        </xdr:from>
        <xdr:to>
          <xdr:col>13</xdr:col>
          <xdr:colOff>361950</xdr:colOff>
          <xdr:row>27</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B00-00000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180975</xdr:colOff>
          <xdr:row>25</xdr:row>
          <xdr:rowOff>85725</xdr:rowOff>
        </xdr:from>
        <xdr:to>
          <xdr:col>14</xdr:col>
          <xdr:colOff>361950</xdr:colOff>
          <xdr:row>27</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B00-00000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27</xdr:row>
          <xdr:rowOff>85725</xdr:rowOff>
        </xdr:from>
        <xdr:to>
          <xdr:col>13</xdr:col>
          <xdr:colOff>361950</xdr:colOff>
          <xdr:row>29</xdr:row>
          <xdr:rowOff>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B00-00000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180975</xdr:colOff>
          <xdr:row>27</xdr:row>
          <xdr:rowOff>85725</xdr:rowOff>
        </xdr:from>
        <xdr:to>
          <xdr:col>14</xdr:col>
          <xdr:colOff>361950</xdr:colOff>
          <xdr:row>29</xdr:row>
          <xdr:rowOff>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B00-00000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29</xdr:row>
          <xdr:rowOff>85725</xdr:rowOff>
        </xdr:from>
        <xdr:to>
          <xdr:col>13</xdr:col>
          <xdr:colOff>361950</xdr:colOff>
          <xdr:row>31</xdr:row>
          <xdr:rowOff>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B00-00000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180975</xdr:colOff>
          <xdr:row>29</xdr:row>
          <xdr:rowOff>85725</xdr:rowOff>
        </xdr:from>
        <xdr:to>
          <xdr:col>14</xdr:col>
          <xdr:colOff>361950</xdr:colOff>
          <xdr:row>31</xdr:row>
          <xdr:rowOff>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B00-00001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31</xdr:row>
          <xdr:rowOff>85725</xdr:rowOff>
        </xdr:from>
        <xdr:to>
          <xdr:col>13</xdr:col>
          <xdr:colOff>361950</xdr:colOff>
          <xdr:row>33</xdr:row>
          <xdr:rowOff>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B00-00001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180975</xdr:colOff>
          <xdr:row>31</xdr:row>
          <xdr:rowOff>85725</xdr:rowOff>
        </xdr:from>
        <xdr:to>
          <xdr:col>14</xdr:col>
          <xdr:colOff>361950</xdr:colOff>
          <xdr:row>33</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B00-00001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33</xdr:row>
          <xdr:rowOff>85725</xdr:rowOff>
        </xdr:from>
        <xdr:to>
          <xdr:col>13</xdr:col>
          <xdr:colOff>361950</xdr:colOff>
          <xdr:row>35</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B00-00001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180975</xdr:colOff>
          <xdr:row>33</xdr:row>
          <xdr:rowOff>85725</xdr:rowOff>
        </xdr:from>
        <xdr:to>
          <xdr:col>14</xdr:col>
          <xdr:colOff>361950</xdr:colOff>
          <xdr:row>35</xdr:row>
          <xdr:rowOff>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B00-00001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35</xdr:row>
          <xdr:rowOff>85725</xdr:rowOff>
        </xdr:from>
        <xdr:to>
          <xdr:col>13</xdr:col>
          <xdr:colOff>361950</xdr:colOff>
          <xdr:row>37</xdr:row>
          <xdr:rowOff>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B00-00001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180975</xdr:colOff>
          <xdr:row>35</xdr:row>
          <xdr:rowOff>85725</xdr:rowOff>
        </xdr:from>
        <xdr:to>
          <xdr:col>14</xdr:col>
          <xdr:colOff>361950</xdr:colOff>
          <xdr:row>37</xdr:row>
          <xdr:rowOff>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B00-00001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37</xdr:row>
          <xdr:rowOff>85725</xdr:rowOff>
        </xdr:from>
        <xdr:to>
          <xdr:col>13</xdr:col>
          <xdr:colOff>361950</xdr:colOff>
          <xdr:row>39</xdr:row>
          <xdr:rowOff>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B00-00001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180975</xdr:colOff>
          <xdr:row>37</xdr:row>
          <xdr:rowOff>85725</xdr:rowOff>
        </xdr:from>
        <xdr:to>
          <xdr:col>14</xdr:col>
          <xdr:colOff>361950</xdr:colOff>
          <xdr:row>39</xdr:row>
          <xdr:rowOff>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B00-00001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190500</xdr:colOff>
          <xdr:row>5</xdr:row>
          <xdr:rowOff>152400</xdr:rowOff>
        </xdr:from>
        <xdr:to>
          <xdr:col>14</xdr:col>
          <xdr:colOff>361950</xdr:colOff>
          <xdr:row>7</xdr:row>
          <xdr:rowOff>19050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B00-00001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190500</xdr:colOff>
          <xdr:row>6</xdr:row>
          <xdr:rowOff>152400</xdr:rowOff>
        </xdr:from>
        <xdr:to>
          <xdr:col>14</xdr:col>
          <xdr:colOff>361950</xdr:colOff>
          <xdr:row>8</xdr:row>
          <xdr:rowOff>19050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B00-00001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200025</xdr:colOff>
          <xdr:row>8</xdr:row>
          <xdr:rowOff>95250</xdr:rowOff>
        </xdr:from>
        <xdr:to>
          <xdr:col>13</xdr:col>
          <xdr:colOff>361950</xdr:colOff>
          <xdr:row>8</xdr:row>
          <xdr:rowOff>323850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B00-00001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190500</xdr:colOff>
          <xdr:row>8</xdr:row>
          <xdr:rowOff>66675</xdr:rowOff>
        </xdr:from>
        <xdr:to>
          <xdr:col>14</xdr:col>
          <xdr:colOff>361950</xdr:colOff>
          <xdr:row>8</xdr:row>
          <xdr:rowOff>323850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B00-00001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200025</xdr:colOff>
          <xdr:row>45</xdr:row>
          <xdr:rowOff>161925</xdr:rowOff>
        </xdr:from>
        <xdr:to>
          <xdr:col>13</xdr:col>
          <xdr:colOff>438150</xdr:colOff>
          <xdr:row>47</xdr:row>
          <xdr:rowOff>19050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B00-00001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200025</xdr:colOff>
          <xdr:row>45</xdr:row>
          <xdr:rowOff>161925</xdr:rowOff>
        </xdr:from>
        <xdr:to>
          <xdr:col>14</xdr:col>
          <xdr:colOff>438150</xdr:colOff>
          <xdr:row>47</xdr:row>
          <xdr:rowOff>19050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B00-00001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200025</xdr:colOff>
          <xdr:row>46</xdr:row>
          <xdr:rowOff>190500</xdr:rowOff>
        </xdr:from>
        <xdr:to>
          <xdr:col>13</xdr:col>
          <xdr:colOff>438150</xdr:colOff>
          <xdr:row>48</xdr:row>
          <xdr:rowOff>19050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B00-00001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200025</xdr:colOff>
          <xdr:row>46</xdr:row>
          <xdr:rowOff>190500</xdr:rowOff>
        </xdr:from>
        <xdr:to>
          <xdr:col>14</xdr:col>
          <xdr:colOff>438150</xdr:colOff>
          <xdr:row>48</xdr:row>
          <xdr:rowOff>19050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B00-00002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200025</xdr:colOff>
          <xdr:row>47</xdr:row>
          <xdr:rowOff>190500</xdr:rowOff>
        </xdr:from>
        <xdr:to>
          <xdr:col>13</xdr:col>
          <xdr:colOff>438150</xdr:colOff>
          <xdr:row>49</xdr:row>
          <xdr:rowOff>19050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B00-00002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200025</xdr:colOff>
          <xdr:row>47</xdr:row>
          <xdr:rowOff>190500</xdr:rowOff>
        </xdr:from>
        <xdr:to>
          <xdr:col>14</xdr:col>
          <xdr:colOff>438150</xdr:colOff>
          <xdr:row>49</xdr:row>
          <xdr:rowOff>19050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B00-00002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200025</xdr:colOff>
          <xdr:row>48</xdr:row>
          <xdr:rowOff>190500</xdr:rowOff>
        </xdr:from>
        <xdr:to>
          <xdr:col>13</xdr:col>
          <xdr:colOff>438150</xdr:colOff>
          <xdr:row>50</xdr:row>
          <xdr:rowOff>19050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B00-00002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200025</xdr:colOff>
          <xdr:row>48</xdr:row>
          <xdr:rowOff>190500</xdr:rowOff>
        </xdr:from>
        <xdr:to>
          <xdr:col>14</xdr:col>
          <xdr:colOff>438150</xdr:colOff>
          <xdr:row>50</xdr:row>
          <xdr:rowOff>19050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B00-00002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200025</xdr:colOff>
          <xdr:row>48</xdr:row>
          <xdr:rowOff>190500</xdr:rowOff>
        </xdr:from>
        <xdr:to>
          <xdr:col>13</xdr:col>
          <xdr:colOff>438150</xdr:colOff>
          <xdr:row>50</xdr:row>
          <xdr:rowOff>19050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B00-00002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200025</xdr:colOff>
          <xdr:row>48</xdr:row>
          <xdr:rowOff>190500</xdr:rowOff>
        </xdr:from>
        <xdr:to>
          <xdr:col>14</xdr:col>
          <xdr:colOff>438150</xdr:colOff>
          <xdr:row>50</xdr:row>
          <xdr:rowOff>19050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B00-00002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200025</xdr:colOff>
          <xdr:row>49</xdr:row>
          <xdr:rowOff>190500</xdr:rowOff>
        </xdr:from>
        <xdr:to>
          <xdr:col>13</xdr:col>
          <xdr:colOff>438150</xdr:colOff>
          <xdr:row>51</xdr:row>
          <xdr:rowOff>19050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B00-00002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200025</xdr:colOff>
          <xdr:row>49</xdr:row>
          <xdr:rowOff>190500</xdr:rowOff>
        </xdr:from>
        <xdr:to>
          <xdr:col>14</xdr:col>
          <xdr:colOff>438150</xdr:colOff>
          <xdr:row>51</xdr:row>
          <xdr:rowOff>19050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B00-00002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200025</xdr:colOff>
          <xdr:row>49</xdr:row>
          <xdr:rowOff>190500</xdr:rowOff>
        </xdr:from>
        <xdr:to>
          <xdr:col>13</xdr:col>
          <xdr:colOff>438150</xdr:colOff>
          <xdr:row>51</xdr:row>
          <xdr:rowOff>19050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B00-00002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200025</xdr:colOff>
          <xdr:row>49</xdr:row>
          <xdr:rowOff>190500</xdr:rowOff>
        </xdr:from>
        <xdr:to>
          <xdr:col>14</xdr:col>
          <xdr:colOff>438150</xdr:colOff>
          <xdr:row>51</xdr:row>
          <xdr:rowOff>19050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B00-00002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200025</xdr:colOff>
          <xdr:row>50</xdr:row>
          <xdr:rowOff>190500</xdr:rowOff>
        </xdr:from>
        <xdr:to>
          <xdr:col>13</xdr:col>
          <xdr:colOff>438150</xdr:colOff>
          <xdr:row>52</xdr:row>
          <xdr:rowOff>19050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B00-00002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200025</xdr:colOff>
          <xdr:row>50</xdr:row>
          <xdr:rowOff>190500</xdr:rowOff>
        </xdr:from>
        <xdr:to>
          <xdr:col>14</xdr:col>
          <xdr:colOff>438150</xdr:colOff>
          <xdr:row>52</xdr:row>
          <xdr:rowOff>19050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B00-00002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200025</xdr:colOff>
          <xdr:row>50</xdr:row>
          <xdr:rowOff>190500</xdr:rowOff>
        </xdr:from>
        <xdr:to>
          <xdr:col>13</xdr:col>
          <xdr:colOff>438150</xdr:colOff>
          <xdr:row>52</xdr:row>
          <xdr:rowOff>19050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B00-00002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200025</xdr:colOff>
          <xdr:row>50</xdr:row>
          <xdr:rowOff>190500</xdr:rowOff>
        </xdr:from>
        <xdr:to>
          <xdr:col>14</xdr:col>
          <xdr:colOff>438150</xdr:colOff>
          <xdr:row>52</xdr:row>
          <xdr:rowOff>19050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B00-00002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1</xdr:col>
      <xdr:colOff>85727</xdr:colOff>
      <xdr:row>0</xdr:row>
      <xdr:rowOff>19050</xdr:rowOff>
    </xdr:from>
    <xdr:ext cx="1722119" cy="914872"/>
    <xdr:pic>
      <xdr:nvPicPr>
        <xdr:cNvPr id="3" name="Picture 2">
          <a:extLst>
            <a:ext uri="{FF2B5EF4-FFF2-40B4-BE49-F238E27FC236}">
              <a16:creationId xmlns:a16="http://schemas.microsoft.com/office/drawing/2014/main" id="{88FA3B9E-327A-462A-A520-412865C443F3}"/>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5389" t="10735" r="5269" b="11141"/>
        <a:stretch/>
      </xdr:blipFill>
      <xdr:spPr>
        <a:xfrm>
          <a:off x="678182" y="15240"/>
          <a:ext cx="1722119" cy="914872"/>
        </a:xfrm>
        <a:prstGeom prst="rect">
          <a:avLst/>
        </a:prstGeom>
      </xdr:spPr>
    </xdr:pic>
    <xdr:clientData/>
  </xdr:oneCellAnchor>
  <xdr:oneCellAnchor>
    <xdr:from>
      <xdr:col>5</xdr:col>
      <xdr:colOff>138704</xdr:colOff>
      <xdr:row>0</xdr:row>
      <xdr:rowOff>507365</xdr:rowOff>
    </xdr:from>
    <xdr:ext cx="1024704" cy="387354"/>
    <xdr:pic>
      <xdr:nvPicPr>
        <xdr:cNvPr id="4" name="Picture 3">
          <a:extLst>
            <a:ext uri="{FF2B5EF4-FFF2-40B4-BE49-F238E27FC236}">
              <a16:creationId xmlns:a16="http://schemas.microsoft.com/office/drawing/2014/main" id="{168A9985-823C-4962-A725-0542B5D55E73}"/>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7069" t="17080" r="5506" b="16824"/>
        <a:stretch/>
      </xdr:blipFill>
      <xdr:spPr>
        <a:xfrm>
          <a:off x="2112284" y="507365"/>
          <a:ext cx="1024704" cy="387354"/>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13</xdr:col>
          <xdr:colOff>190500</xdr:colOff>
          <xdr:row>8</xdr:row>
          <xdr:rowOff>371475</xdr:rowOff>
        </xdr:from>
        <xdr:to>
          <xdr:col>13</xdr:col>
          <xdr:colOff>361950</xdr:colOff>
          <xdr:row>10</xdr:row>
          <xdr:rowOff>38100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B00-00002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190500</xdr:colOff>
          <xdr:row>8</xdr:row>
          <xdr:rowOff>371475</xdr:rowOff>
        </xdr:from>
        <xdr:to>
          <xdr:col>14</xdr:col>
          <xdr:colOff>361950</xdr:colOff>
          <xdr:row>10</xdr:row>
          <xdr:rowOff>38100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B00-00003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190500</xdr:colOff>
          <xdr:row>9</xdr:row>
          <xdr:rowOff>171450</xdr:rowOff>
        </xdr:from>
        <xdr:to>
          <xdr:col>13</xdr:col>
          <xdr:colOff>361950</xdr:colOff>
          <xdr:row>11</xdr:row>
          <xdr:rowOff>19050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B00-00003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190500</xdr:colOff>
          <xdr:row>9</xdr:row>
          <xdr:rowOff>152400</xdr:rowOff>
        </xdr:from>
        <xdr:to>
          <xdr:col>14</xdr:col>
          <xdr:colOff>361950</xdr:colOff>
          <xdr:row>11</xdr:row>
          <xdr:rowOff>38100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B00-00003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190500</xdr:colOff>
          <xdr:row>10</xdr:row>
          <xdr:rowOff>161925</xdr:rowOff>
        </xdr:from>
        <xdr:to>
          <xdr:col>13</xdr:col>
          <xdr:colOff>381000</xdr:colOff>
          <xdr:row>12</xdr:row>
          <xdr:rowOff>57150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B00-00003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190500</xdr:colOff>
          <xdr:row>10</xdr:row>
          <xdr:rowOff>152400</xdr:rowOff>
        </xdr:from>
        <xdr:to>
          <xdr:col>14</xdr:col>
          <xdr:colOff>438150</xdr:colOff>
          <xdr:row>12</xdr:row>
          <xdr:rowOff>57150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B00-00003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190500</xdr:colOff>
          <xdr:row>6</xdr:row>
          <xdr:rowOff>152400</xdr:rowOff>
        </xdr:from>
        <xdr:to>
          <xdr:col>13</xdr:col>
          <xdr:colOff>361950</xdr:colOff>
          <xdr:row>8</xdr:row>
          <xdr:rowOff>19050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B00-00003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200025</xdr:colOff>
          <xdr:row>51</xdr:row>
          <xdr:rowOff>180975</xdr:rowOff>
        </xdr:from>
        <xdr:to>
          <xdr:col>13</xdr:col>
          <xdr:colOff>438150</xdr:colOff>
          <xdr:row>53</xdr:row>
          <xdr:rowOff>28575</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B00-00003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200025</xdr:colOff>
          <xdr:row>51</xdr:row>
          <xdr:rowOff>171450</xdr:rowOff>
        </xdr:from>
        <xdr:to>
          <xdr:col>14</xdr:col>
          <xdr:colOff>438150</xdr:colOff>
          <xdr:row>53</xdr:row>
          <xdr:rowOff>19050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B00-00003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21</xdr:row>
          <xdr:rowOff>95250</xdr:rowOff>
        </xdr:from>
        <xdr:to>
          <xdr:col>13</xdr:col>
          <xdr:colOff>381000</xdr:colOff>
          <xdr:row>22</xdr:row>
          <xdr:rowOff>95250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B00-00003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180975</xdr:colOff>
          <xdr:row>21</xdr:row>
          <xdr:rowOff>38100</xdr:rowOff>
        </xdr:from>
        <xdr:to>
          <xdr:col>14</xdr:col>
          <xdr:colOff>361950</xdr:colOff>
          <xdr:row>22</xdr:row>
          <xdr:rowOff>123825</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B00-00003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39</xdr:row>
          <xdr:rowOff>85725</xdr:rowOff>
        </xdr:from>
        <xdr:to>
          <xdr:col>13</xdr:col>
          <xdr:colOff>361950</xdr:colOff>
          <xdr:row>41</xdr:row>
          <xdr:rowOff>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B00-00003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180975</xdr:colOff>
          <xdr:row>39</xdr:row>
          <xdr:rowOff>85725</xdr:rowOff>
        </xdr:from>
        <xdr:to>
          <xdr:col>14</xdr:col>
          <xdr:colOff>361950</xdr:colOff>
          <xdr:row>41</xdr:row>
          <xdr:rowOff>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B00-00003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41</xdr:row>
          <xdr:rowOff>85725</xdr:rowOff>
        </xdr:from>
        <xdr:to>
          <xdr:col>13</xdr:col>
          <xdr:colOff>361950</xdr:colOff>
          <xdr:row>43</xdr:row>
          <xdr:rowOff>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B00-00003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180975</xdr:colOff>
          <xdr:row>41</xdr:row>
          <xdr:rowOff>85725</xdr:rowOff>
        </xdr:from>
        <xdr:to>
          <xdr:col>14</xdr:col>
          <xdr:colOff>361950</xdr:colOff>
          <xdr:row>43</xdr:row>
          <xdr:rowOff>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B00-00003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180975</xdr:colOff>
          <xdr:row>43</xdr:row>
          <xdr:rowOff>85725</xdr:rowOff>
        </xdr:from>
        <xdr:to>
          <xdr:col>13</xdr:col>
          <xdr:colOff>361950</xdr:colOff>
          <xdr:row>44</xdr:row>
          <xdr:rowOff>171450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B00-00004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180975</xdr:colOff>
          <xdr:row>43</xdr:row>
          <xdr:rowOff>85725</xdr:rowOff>
        </xdr:from>
        <xdr:to>
          <xdr:col>14</xdr:col>
          <xdr:colOff>361950</xdr:colOff>
          <xdr:row>44</xdr:row>
          <xdr:rowOff>171450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B00-00004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sstekla.file.core.windows.net\allcompany\PROJECTS\21-107%20Amazon%20Findlay\E21%20-%20116%20Amazon%20-%20Findlay\E21%20-%20116%20Amazon%20-%20Findlay\+HSS%20ESTIMATE%20FILE%204.0%20E21-116%20Amazon.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00%20Estimate%20Revamp%20Working%20Copy.xlsx" TargetMode="External"/><Relationship Id="rId2" Type="http://schemas.openxmlformats.org/officeDocument/2006/relationships/externalLinkPath" Target="file:///H:\Estimating\+00%20Estimate%20Revamp%20Working%20Copy.xlsx" TargetMode="External"/><Relationship Id="rId1" Type="http://schemas.openxmlformats.org/officeDocument/2006/relationships/externalLinkPath" Target="/Estimating/+00%20Estimate%20Revamp%20Working%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
      <sheetName val="MATERIALS"/>
      <sheetName val="Anchor Bolts, Embeds, etc"/>
      <sheetName val="PROPOSAL"/>
      <sheetName val="CHANGE ORDER"/>
      <sheetName val="COST CODES"/>
      <sheetName val="PROJECT INFO"/>
      <sheetName val="AIA G702"/>
      <sheetName val="AIA G703"/>
    </sheetNames>
    <sheetDataSet>
      <sheetData sheetId="0"/>
      <sheetData sheetId="1"/>
      <sheetData sheetId="2"/>
      <sheetData sheetId="3"/>
      <sheetData sheetId="4"/>
      <sheetData sheetId="5"/>
      <sheetData sheetId="6"/>
      <sheetData sheetId="7">
        <row r="5">
          <cell r="J5"/>
          <cell r="L5"/>
          <cell r="N5" t="str">
            <v xml:space="preserve"> </v>
          </cell>
          <cell r="O5"/>
          <cell r="P5" t="str">
            <v xml:space="preserve"> </v>
          </cell>
          <cell r="Q5" t="str">
            <v xml:space="preserve"> </v>
          </cell>
          <cell r="R5"/>
          <cell r="S5"/>
        </row>
        <row r="6">
          <cell r="C6"/>
          <cell r="D6"/>
          <cell r="E6"/>
          <cell r="F6"/>
          <cell r="G6"/>
          <cell r="H6"/>
          <cell r="I6"/>
          <cell r="J6"/>
          <cell r="K6"/>
          <cell r="L6"/>
          <cell r="M6"/>
          <cell r="N6"/>
          <cell r="O6"/>
          <cell r="P6"/>
          <cell r="Q6"/>
        </row>
        <row r="7">
          <cell r="C7"/>
          <cell r="D7"/>
          <cell r="E7"/>
          <cell r="F7"/>
          <cell r="G7" t="str">
            <v>PROJECT:</v>
          </cell>
          <cell r="H7"/>
          <cell r="I7"/>
          <cell r="J7"/>
          <cell r="L7" t="str">
            <v>APPLICATION NO:</v>
          </cell>
          <cell r="M7" t="str">
            <v>X</v>
          </cell>
          <cell r="N7"/>
          <cell r="O7"/>
          <cell r="P7"/>
          <cell r="Q7"/>
          <cell r="R7"/>
          <cell r="S7"/>
        </row>
        <row r="8">
          <cell r="C8"/>
          <cell r="D8"/>
          <cell r="E8"/>
          <cell r="F8"/>
          <cell r="G8"/>
          <cell r="H8"/>
          <cell r="I8"/>
          <cell r="J8"/>
          <cell r="L8"/>
          <cell r="M8"/>
          <cell r="O8"/>
          <cell r="P8"/>
          <cell r="Q8"/>
          <cell r="R8"/>
          <cell r="S8"/>
        </row>
        <row r="9">
          <cell r="C9"/>
          <cell r="D9"/>
          <cell r="E9"/>
          <cell r="F9"/>
          <cell r="G9"/>
          <cell r="H9"/>
          <cell r="I9"/>
          <cell r="J9"/>
          <cell r="K9"/>
          <cell r="L9"/>
          <cell r="M9"/>
          <cell r="O9"/>
          <cell r="P9"/>
          <cell r="Q9"/>
          <cell r="R9"/>
          <cell r="S9"/>
        </row>
        <row r="10">
          <cell r="C10"/>
          <cell r="D10"/>
          <cell r="E10"/>
          <cell r="F10"/>
          <cell r="G10"/>
          <cell r="H10"/>
          <cell r="I10"/>
          <cell r="J10"/>
          <cell r="L10"/>
          <cell r="M10"/>
          <cell r="O10"/>
          <cell r="P10"/>
          <cell r="Q10"/>
          <cell r="R10"/>
          <cell r="S10"/>
        </row>
        <row r="11">
          <cell r="C11"/>
          <cell r="D11"/>
          <cell r="E11"/>
          <cell r="F11"/>
          <cell r="G11"/>
          <cell r="H11"/>
          <cell r="I11"/>
          <cell r="J11"/>
          <cell r="K11"/>
          <cell r="L11"/>
          <cell r="M11"/>
          <cell r="O11"/>
          <cell r="P11"/>
          <cell r="Q11"/>
          <cell r="R11"/>
          <cell r="S11"/>
        </row>
        <row r="12">
          <cell r="C12"/>
          <cell r="D12"/>
          <cell r="E12"/>
          <cell r="F12"/>
          <cell r="G12"/>
          <cell r="H12"/>
          <cell r="I12"/>
          <cell r="J12"/>
          <cell r="L12"/>
          <cell r="M12"/>
          <cell r="O12"/>
          <cell r="P12"/>
          <cell r="Q12"/>
          <cell r="R12"/>
          <cell r="S12"/>
        </row>
        <row r="13">
          <cell r="C13"/>
          <cell r="D13"/>
          <cell r="E13"/>
          <cell r="F13"/>
          <cell r="G13"/>
          <cell r="H13"/>
          <cell r="I13"/>
          <cell r="J13"/>
          <cell r="K13"/>
          <cell r="L13" t="str">
            <v>PERIOD TO:</v>
          </cell>
          <cell r="M13"/>
          <cell r="O13"/>
          <cell r="P13"/>
          <cell r="Q13"/>
          <cell r="R13"/>
          <cell r="S13"/>
        </row>
        <row r="14">
          <cell r="C14"/>
          <cell r="D14"/>
          <cell r="E14"/>
          <cell r="F14"/>
          <cell r="G14"/>
          <cell r="H14"/>
          <cell r="I14"/>
          <cell r="J14"/>
          <cell r="L14"/>
          <cell r="M14"/>
          <cell r="O14"/>
          <cell r="P14"/>
          <cell r="Q14"/>
          <cell r="R14"/>
          <cell r="S14"/>
        </row>
        <row r="15">
          <cell r="C15"/>
          <cell r="D15"/>
          <cell r="E15"/>
          <cell r="F15"/>
          <cell r="G15" t="str">
            <v>VIA ARCHITECT:</v>
          </cell>
          <cell r="H15"/>
          <cell r="I15"/>
          <cell r="J15"/>
          <cell r="L15"/>
          <cell r="M15"/>
          <cell r="O15"/>
          <cell r="P15"/>
          <cell r="Q15"/>
          <cell r="R15"/>
          <cell r="S15"/>
        </row>
        <row r="16">
          <cell r="C16"/>
          <cell r="D16"/>
          <cell r="E16"/>
          <cell r="F16"/>
          <cell r="G16"/>
          <cell r="H16"/>
          <cell r="I16"/>
          <cell r="J16"/>
          <cell r="L16"/>
          <cell r="M16"/>
          <cell r="O16"/>
          <cell r="P16"/>
          <cell r="Q16"/>
          <cell r="R16"/>
          <cell r="S16"/>
        </row>
        <row r="17">
          <cell r="C17"/>
          <cell r="D17"/>
          <cell r="E17"/>
          <cell r="F17"/>
          <cell r="G17"/>
          <cell r="H17"/>
          <cell r="I17"/>
          <cell r="J17"/>
          <cell r="K17"/>
          <cell r="L17" t="str">
            <v xml:space="preserve"> </v>
          </cell>
          <cell r="M17"/>
          <cell r="O17"/>
          <cell r="P17"/>
          <cell r="Q17"/>
          <cell r="R17"/>
          <cell r="S17"/>
        </row>
        <row r="18">
          <cell r="C18"/>
          <cell r="D18"/>
          <cell r="E18"/>
          <cell r="F18"/>
          <cell r="G18"/>
          <cell r="H18"/>
          <cell r="I18"/>
          <cell r="J18"/>
          <cell r="L18"/>
          <cell r="M18"/>
          <cell r="N18"/>
          <cell r="O18"/>
          <cell r="P18"/>
          <cell r="Q18"/>
          <cell r="R18"/>
          <cell r="S18"/>
        </row>
        <row r="19">
          <cell r="C19"/>
          <cell r="D19"/>
          <cell r="E19"/>
          <cell r="F19"/>
          <cell r="G19"/>
          <cell r="H19"/>
          <cell r="I19"/>
          <cell r="J19"/>
          <cell r="K19"/>
          <cell r="L19" t="str">
            <v>PROJECT NOS:</v>
          </cell>
          <cell r="M19"/>
          <cell r="N19"/>
          <cell r="O19"/>
          <cell r="P19"/>
          <cell r="Q19"/>
          <cell r="R19"/>
          <cell r="S19"/>
        </row>
        <row r="20">
          <cell r="C20"/>
          <cell r="D20"/>
          <cell r="E20"/>
          <cell r="F20"/>
          <cell r="G20"/>
          <cell r="H20"/>
          <cell r="I20"/>
          <cell r="J20"/>
          <cell r="K20"/>
          <cell r="L20"/>
          <cell r="M20"/>
          <cell r="N20"/>
          <cell r="O20"/>
          <cell r="P20"/>
          <cell r="Q20"/>
          <cell r="R20"/>
          <cell r="S20"/>
        </row>
        <row r="21">
          <cell r="C21"/>
          <cell r="D21"/>
          <cell r="E21"/>
          <cell r="F21"/>
          <cell r="G21"/>
          <cell r="H21"/>
          <cell r="I21"/>
          <cell r="J21"/>
          <cell r="K21"/>
          <cell r="L21" t="str">
            <v>CONTRACT DATE:</v>
          </cell>
          <cell r="M21"/>
          <cell r="N21"/>
          <cell r="O21"/>
          <cell r="P21"/>
          <cell r="Q21"/>
          <cell r="R21"/>
        </row>
        <row r="22">
          <cell r="C22"/>
          <cell r="D22"/>
          <cell r="E22"/>
          <cell r="F22"/>
          <cell r="G22"/>
          <cell r="H22"/>
          <cell r="I22"/>
          <cell r="J22"/>
          <cell r="K22"/>
          <cell r="L22"/>
          <cell r="M22"/>
          <cell r="N22"/>
          <cell r="O22"/>
          <cell r="P22"/>
          <cell r="Q22"/>
        </row>
        <row r="23">
          <cell r="J23" t="str">
            <v>The undersigned Subcontractor certifies that to the best of the Subcontractor's knowledge, information and</v>
          </cell>
          <cell r="K23"/>
          <cell r="L23"/>
          <cell r="M23"/>
          <cell r="N23"/>
          <cell r="O23"/>
          <cell r="P23"/>
          <cell r="Q23"/>
        </row>
        <row r="24">
          <cell r="J24" t="str">
            <v>belief the Work covered by this Application for Payment has been completed in accordance with the</v>
          </cell>
        </row>
        <row r="25">
          <cell r="J25" t="str">
            <v>Contract Documents, that all amounts have been paid by the Subcontractor for Work for which previous</v>
          </cell>
        </row>
        <row r="26">
          <cell r="J26" t="str">
            <v>Certificates for Payment were issued and payments received from the Owner, and that current payment</v>
          </cell>
        </row>
        <row r="27">
          <cell r="J27" t="str">
            <v>shown herein is now due.</v>
          </cell>
        </row>
        <row r="29">
          <cell r="G29" t="str">
            <v xml:space="preserve"> $</v>
          </cell>
          <cell r="H29">
            <v>0</v>
          </cell>
        </row>
        <row r="30">
          <cell r="G30" t="str">
            <v xml:space="preserve"> $</v>
          </cell>
          <cell r="H30">
            <v>0</v>
          </cell>
          <cell r="J30" t="str">
            <v>SUBCONTRACTOR:</v>
          </cell>
          <cell r="L30"/>
          <cell r="M30"/>
          <cell r="N30"/>
          <cell r="O30"/>
          <cell r="P30"/>
          <cell r="Q30"/>
          <cell r="R30"/>
        </row>
        <row r="31">
          <cell r="E31" t="str">
            <v>(Line 1 + 2)</v>
          </cell>
          <cell r="G31" t="str">
            <v>$</v>
          </cell>
          <cell r="H31" t="str">
            <v/>
          </cell>
        </row>
        <row r="32">
          <cell r="G32" t="str">
            <v>$</v>
          </cell>
          <cell r="H32">
            <v>0</v>
          </cell>
        </row>
        <row r="33">
          <cell r="J33" t="str">
            <v>By:</v>
          </cell>
          <cell r="K33"/>
          <cell r="L33"/>
          <cell r="M33"/>
          <cell r="N33"/>
          <cell r="O33"/>
          <cell r="P33" t="str">
            <v xml:space="preserve"> Date:</v>
          </cell>
          <cell r="Q33"/>
          <cell r="R33"/>
        </row>
        <row r="35">
          <cell r="E35"/>
          <cell r="G35"/>
          <cell r="J35" t="str">
            <v>State of: Ohio</v>
          </cell>
          <cell r="L35"/>
          <cell r="M35"/>
          <cell r="N35"/>
          <cell r="O35"/>
          <cell r="P35"/>
          <cell r="Q35"/>
          <cell r="R35"/>
        </row>
        <row r="36">
          <cell r="C36">
            <v>8</v>
          </cell>
          <cell r="D36" t="str">
            <v>% of Completed Work                 $</v>
          </cell>
          <cell r="F36">
            <v>0</v>
          </cell>
          <cell r="G36"/>
          <cell r="J36" t="str">
            <v xml:space="preserve">County of:    </v>
          </cell>
          <cell r="L36"/>
          <cell r="M36"/>
          <cell r="N36"/>
          <cell r="O36"/>
          <cell r="P36"/>
          <cell r="Q36"/>
          <cell r="R36"/>
        </row>
        <row r="37">
          <cell r="C37" t="str">
            <v>(Column D + E on G703)</v>
          </cell>
          <cell r="D37"/>
          <cell r="J37" t="str">
            <v xml:space="preserve">Subscribed and sworn to before me this </v>
          </cell>
          <cell r="K37"/>
          <cell r="L37"/>
          <cell r="M37" t="str">
            <v xml:space="preserve">          day of , 2021</v>
          </cell>
          <cell r="N37"/>
          <cell r="O37"/>
          <cell r="P37"/>
          <cell r="Q37"/>
          <cell r="R37"/>
        </row>
        <row r="38">
          <cell r="C38">
            <v>8</v>
          </cell>
          <cell r="D38" t="str">
            <v>% of Stored Material                    $</v>
          </cell>
          <cell r="F38">
            <v>0</v>
          </cell>
          <cell r="G38"/>
          <cell r="J38" t="str">
            <v xml:space="preserve">Notary Public: </v>
          </cell>
          <cell r="L38"/>
          <cell r="M38"/>
          <cell r="N38"/>
          <cell r="O38"/>
          <cell r="P38"/>
          <cell r="Q38"/>
          <cell r="R38"/>
        </row>
        <row r="39">
          <cell r="C39" t="str">
            <v>(Column F on G703)</v>
          </cell>
          <cell r="D39"/>
          <cell r="J39" t="str">
            <v xml:space="preserve">My Commission expires: </v>
          </cell>
          <cell r="L39"/>
          <cell r="M39"/>
          <cell r="N39"/>
          <cell r="O39"/>
          <cell r="P39"/>
          <cell r="Q39"/>
          <cell r="R39"/>
        </row>
        <row r="40">
          <cell r="J40"/>
          <cell r="K40"/>
          <cell r="L40"/>
          <cell r="M40"/>
          <cell r="N40"/>
          <cell r="O40"/>
          <cell r="P40"/>
          <cell r="Q40"/>
          <cell r="R40"/>
        </row>
        <row r="41">
          <cell r="C41" t="str">
            <v xml:space="preserve">Total in Column I of G703) </v>
          </cell>
          <cell r="D41"/>
          <cell r="G41" t="str">
            <v>$</v>
          </cell>
          <cell r="H41">
            <v>0</v>
          </cell>
        </row>
        <row r="42">
          <cell r="C42"/>
          <cell r="D42"/>
          <cell r="G42" t="str">
            <v>$</v>
          </cell>
          <cell r="H42">
            <v>0</v>
          </cell>
          <cell r="J42"/>
          <cell r="K42"/>
          <cell r="L42"/>
          <cell r="M42"/>
          <cell r="N42"/>
          <cell r="O42"/>
          <cell r="P42"/>
          <cell r="Q42"/>
        </row>
        <row r="43">
          <cell r="J43"/>
        </row>
        <row r="44">
          <cell r="J44"/>
        </row>
        <row r="45">
          <cell r="G45" t="str">
            <v>$</v>
          </cell>
          <cell r="H45">
            <v>0</v>
          </cell>
          <cell r="J45"/>
        </row>
        <row r="46">
          <cell r="J46"/>
        </row>
        <row r="47">
          <cell r="G47" t="str">
            <v>$</v>
          </cell>
          <cell r="H47">
            <v>0</v>
          </cell>
          <cell r="J47"/>
        </row>
        <row r="49">
          <cell r="F49">
            <v>0</v>
          </cell>
          <cell r="G49" t="str">
            <v xml:space="preserve"> </v>
          </cell>
          <cell r="J49"/>
          <cell r="L49"/>
          <cell r="Q49"/>
          <cell r="R49"/>
        </row>
        <row r="51">
          <cell r="C51"/>
          <cell r="D51"/>
          <cell r="E51"/>
          <cell r="F51" t="str">
            <v>ADDITIONS</v>
          </cell>
          <cell r="G51" t="str">
            <v>DEDUCTIONS</v>
          </cell>
          <cell r="H51"/>
          <cell r="J51"/>
        </row>
        <row r="52">
          <cell r="F52"/>
          <cell r="G52"/>
          <cell r="H52"/>
          <cell r="J52"/>
        </row>
        <row r="53">
          <cell r="C53"/>
          <cell r="D53"/>
          <cell r="E53"/>
          <cell r="F53"/>
          <cell r="G53"/>
          <cell r="H53"/>
          <cell r="J53"/>
          <cell r="L53"/>
          <cell r="M53"/>
          <cell r="N53"/>
          <cell r="O53"/>
          <cell r="P53"/>
          <cell r="Q53"/>
          <cell r="R53"/>
        </row>
        <row r="54">
          <cell r="F54"/>
          <cell r="G54"/>
          <cell r="H54"/>
        </row>
        <row r="55">
          <cell r="C55"/>
          <cell r="D55"/>
          <cell r="E55"/>
          <cell r="F55">
            <v>0</v>
          </cell>
          <cell r="G55"/>
          <cell r="H55"/>
          <cell r="J55"/>
          <cell r="P55"/>
        </row>
        <row r="56">
          <cell r="F56"/>
          <cell r="G56"/>
          <cell r="H56"/>
        </row>
        <row r="57">
          <cell r="C57"/>
          <cell r="D57"/>
          <cell r="E57"/>
          <cell r="F57">
            <v>0</v>
          </cell>
          <cell r="G57" t="str">
            <v xml:space="preserve"> </v>
          </cell>
          <cell r="H57">
            <v>0</v>
          </cell>
          <cell r="J57"/>
        </row>
        <row r="58">
          <cell r="C58"/>
          <cell r="D58"/>
          <cell r="E58"/>
          <cell r="F58"/>
          <cell r="G58" t="str">
            <v xml:space="preserve"> </v>
          </cell>
          <cell r="H58">
            <v>0</v>
          </cell>
          <cell r="J58"/>
        </row>
        <row r="59">
          <cell r="J59"/>
          <cell r="K59"/>
          <cell r="L59"/>
          <cell r="M59"/>
          <cell r="N59"/>
          <cell r="O59"/>
          <cell r="P59"/>
          <cell r="Q59"/>
          <cell r="R59"/>
        </row>
        <row r="60">
          <cell r="C60"/>
          <cell r="D60"/>
          <cell r="E60"/>
          <cell r="F60"/>
          <cell r="G60"/>
          <cell r="H60"/>
          <cell r="I60"/>
          <cell r="J60"/>
          <cell r="K60"/>
          <cell r="L60"/>
          <cell r="M60"/>
          <cell r="N60"/>
          <cell r="O60"/>
          <cell r="P60"/>
          <cell r="Q60"/>
          <cell r="R60"/>
        </row>
        <row r="61">
          <cell r="R61"/>
        </row>
      </sheetData>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CAP"/>
      <sheetName val="MATERIALS"/>
      <sheetName val="Anchor Bolts, Embeds, etc"/>
      <sheetName val="PROPOSAL OVER $500K"/>
      <sheetName val="Estimator Notes"/>
      <sheetName val="COST CODES"/>
      <sheetName val="Contract Review Record"/>
    </sheetNames>
    <sheetDataSet>
      <sheetData sheetId="0">
        <row r="30">
          <cell r="F30" t="str">
            <v>-</v>
          </cell>
        </row>
        <row r="31">
          <cell r="F31" t="str">
            <v>-</v>
          </cell>
        </row>
      </sheetData>
      <sheetData sheetId="1">
        <row r="5">
          <cell r="B5" t="str">
            <v>(any Fire proofing type Y or N)</v>
          </cell>
        </row>
      </sheetData>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phostetter@hancocksteel.com" TargetMode="External"/><Relationship Id="rId1" Type="http://schemas.openxmlformats.org/officeDocument/2006/relationships/hyperlink" Target="mailto:bholtfreter@hancocksteel.com"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trlProp" Target="../ctrlProps/ctrlProp47.xml"/><Relationship Id="rId55" Type="http://schemas.openxmlformats.org/officeDocument/2006/relationships/ctrlProp" Target="../ctrlProps/ctrlProp52.xml"/><Relationship Id="rId63" Type="http://schemas.openxmlformats.org/officeDocument/2006/relationships/ctrlProp" Target="../ctrlProps/ctrlProp60.xml"/><Relationship Id="rId7" Type="http://schemas.openxmlformats.org/officeDocument/2006/relationships/ctrlProp" Target="../ctrlProps/ctrlProp4.xml"/><Relationship Id="rId2" Type="http://schemas.openxmlformats.org/officeDocument/2006/relationships/drawing" Target="../drawings/drawing4.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8" Type="http://schemas.openxmlformats.org/officeDocument/2006/relationships/ctrlProp" Target="../ctrlProps/ctrlProp55.xml"/><Relationship Id="rId66" Type="http://schemas.openxmlformats.org/officeDocument/2006/relationships/ctrlProp" Target="../ctrlProps/ctrlProp63.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8" Type="http://schemas.openxmlformats.org/officeDocument/2006/relationships/ctrlProp" Target="../ctrlProps/ctrlProp5.xml"/><Relationship Id="rId51" Type="http://schemas.openxmlformats.org/officeDocument/2006/relationships/ctrlProp" Target="../ctrlProps/ctrlProp48.xml"/><Relationship Id="rId3" Type="http://schemas.openxmlformats.org/officeDocument/2006/relationships/vmlDrawing" Target="../drawings/vmlDrawing3.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1" Type="http://schemas.openxmlformats.org/officeDocument/2006/relationships/printerSettings" Target="../printerSettings/printerSettings1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15CE4-40A6-4EB5-B6A0-360FEBDFB4A4}">
  <dimension ref="A1:K57"/>
  <sheetViews>
    <sheetView zoomScale="80" zoomScaleNormal="80" workbookViewId="0">
      <selection activeCell="A32" sqref="A32:C32"/>
    </sheetView>
  </sheetViews>
  <sheetFormatPr defaultRowHeight="15.75" x14ac:dyDescent="0.25"/>
  <cols>
    <col min="3" max="3" width="14.5" customWidth="1"/>
    <col min="4" max="4" width="15.75" customWidth="1"/>
    <col min="5" max="5" width="7.625" bestFit="1" customWidth="1"/>
    <col min="6" max="6" width="14.25" bestFit="1" customWidth="1"/>
    <col min="7" max="7" width="15.25" bestFit="1" customWidth="1"/>
    <col min="8" max="8" width="10.5" customWidth="1"/>
    <col min="9" max="9" width="9.75" bestFit="1" customWidth="1"/>
    <col min="11" max="11" width="13" customWidth="1"/>
  </cols>
  <sheetData>
    <row r="1" spans="1:11" x14ac:dyDescent="0.25">
      <c r="A1" s="6"/>
      <c r="B1" s="6"/>
      <c r="C1" s="6"/>
      <c r="D1" s="6"/>
      <c r="E1" s="6"/>
      <c r="F1" s="6"/>
      <c r="G1" s="6"/>
      <c r="H1" s="6"/>
      <c r="I1" s="6"/>
      <c r="J1" s="2" t="s">
        <v>0</v>
      </c>
      <c r="K1" s="271" t="s">
        <v>1</v>
      </c>
    </row>
    <row r="2" spans="1:11" x14ac:dyDescent="0.25">
      <c r="A2" s="6"/>
      <c r="B2" s="6"/>
      <c r="C2" s="6"/>
      <c r="D2" s="6"/>
      <c r="E2" s="6"/>
      <c r="F2" s="6"/>
      <c r="G2" s="6"/>
      <c r="H2" s="6"/>
      <c r="I2" s="6"/>
      <c r="J2" s="2" t="s">
        <v>2</v>
      </c>
      <c r="K2" s="5">
        <f ca="1">TODAY()</f>
        <v>46238</v>
      </c>
    </row>
    <row r="3" spans="1:11" x14ac:dyDescent="0.25">
      <c r="A3" s="6"/>
      <c r="B3" s="6"/>
      <c r="C3" s="6"/>
      <c r="D3" s="6"/>
      <c r="E3" s="6"/>
      <c r="F3" s="6"/>
      <c r="G3" s="6"/>
      <c r="H3" s="6"/>
      <c r="I3" s="6"/>
      <c r="J3" s="2" t="s">
        <v>3</v>
      </c>
      <c r="K3" s="271"/>
    </row>
    <row r="4" spans="1:11" x14ac:dyDescent="0.25">
      <c r="A4" s="6"/>
      <c r="B4" s="6"/>
      <c r="C4" s="6"/>
      <c r="D4" s="6"/>
      <c r="E4" s="6"/>
      <c r="F4" s="6"/>
      <c r="G4" s="6"/>
      <c r="H4" s="6"/>
      <c r="I4" s="405" t="str">
        <f>_xlfn.XLOOKUP(K3,A56:A57,B56:B57, "E-Mail")</f>
        <v>E-Mail</v>
      </c>
      <c r="J4" s="406"/>
      <c r="K4" s="406"/>
    </row>
    <row r="5" spans="1:11" x14ac:dyDescent="0.25">
      <c r="A5" s="6"/>
      <c r="B5" s="6"/>
      <c r="C5" s="6"/>
      <c r="D5" s="6"/>
      <c r="E5" s="6"/>
      <c r="F5" s="6"/>
      <c r="G5" s="6"/>
      <c r="H5" s="6"/>
      <c r="I5" s="6"/>
      <c r="J5" s="2" t="s">
        <v>4</v>
      </c>
      <c r="K5" s="182" t="e">
        <f>F53/G53</f>
        <v>#DIV/0!</v>
      </c>
    </row>
    <row r="6" spans="1:11" x14ac:dyDescent="0.25">
      <c r="A6" s="6"/>
      <c r="B6" s="6"/>
      <c r="C6" s="6"/>
      <c r="D6" s="6"/>
      <c r="E6" s="6"/>
      <c r="F6" s="6"/>
      <c r="G6" s="6"/>
      <c r="H6" s="6"/>
      <c r="I6" s="414" t="s">
        <v>5</v>
      </c>
      <c r="J6" s="415"/>
      <c r="K6" s="213" t="e">
        <f>(D28+D42)/(Structural!D15+Misc.!D14)</f>
        <v>#DIV/0!</v>
      </c>
    </row>
    <row r="7" spans="1:11" x14ac:dyDescent="0.25">
      <c r="A7" s="6"/>
      <c r="B7" s="6"/>
      <c r="C7" s="6"/>
      <c r="D7" s="6"/>
      <c r="E7" s="6"/>
      <c r="F7" s="6"/>
      <c r="G7" s="6"/>
      <c r="H7" s="6"/>
      <c r="I7" s="174"/>
      <c r="J7" s="175"/>
      <c r="K7" s="213"/>
    </row>
    <row r="8" spans="1:11" ht="11.45" customHeight="1" thickBot="1" x14ac:dyDescent="0.3">
      <c r="A8" s="1"/>
      <c r="B8" s="1"/>
      <c r="C8" s="1"/>
      <c r="D8" s="1"/>
      <c r="E8" s="1"/>
      <c r="F8" s="1"/>
      <c r="G8" s="1"/>
      <c r="H8" s="1"/>
      <c r="I8" s="1"/>
      <c r="J8" s="1"/>
      <c r="K8" s="2"/>
    </row>
    <row r="9" spans="1:11" x14ac:dyDescent="0.25">
      <c r="A9" s="412" t="s">
        <v>6</v>
      </c>
      <c r="B9" s="413"/>
      <c r="C9" s="416"/>
      <c r="D9" s="417"/>
      <c r="E9" s="417"/>
      <c r="F9" s="417"/>
      <c r="G9" s="413" t="s">
        <v>7</v>
      </c>
      <c r="H9" s="413"/>
      <c r="I9" s="416" t="s">
        <v>8</v>
      </c>
      <c r="J9" s="416"/>
      <c r="K9" s="417"/>
    </row>
    <row r="10" spans="1:11" x14ac:dyDescent="0.25">
      <c r="A10" s="407" t="s">
        <v>9</v>
      </c>
      <c r="B10" s="408"/>
      <c r="C10" s="409"/>
      <c r="D10" s="409"/>
      <c r="E10" s="409"/>
      <c r="F10" s="409"/>
      <c r="G10" s="409"/>
      <c r="H10" s="409"/>
      <c r="I10" s="409" t="s">
        <v>10</v>
      </c>
      <c r="J10" s="409"/>
      <c r="K10" s="418"/>
    </row>
    <row r="11" spans="1:11" ht="16.5" thickBot="1" x14ac:dyDescent="0.3">
      <c r="A11" s="3" t="s">
        <v>11</v>
      </c>
      <c r="B11" s="210">
        <f>(Structural!D15+Misc.!D14)/2000</f>
        <v>0</v>
      </c>
      <c r="C11" s="4" t="s">
        <v>12</v>
      </c>
      <c r="D11" s="211">
        <f>Labor!B13+Labor!B27</f>
        <v>0</v>
      </c>
      <c r="E11" s="419" t="s">
        <v>13</v>
      </c>
      <c r="F11" s="420"/>
      <c r="G11" s="212" t="e">
        <f>D11/B11</f>
        <v>#DIV/0!</v>
      </c>
      <c r="H11" s="342" t="s">
        <v>98</v>
      </c>
      <c r="I11" s="343"/>
      <c r="J11" s="410"/>
      <c r="K11" s="411"/>
    </row>
    <row r="12" spans="1:11" ht="7.9" customHeight="1" thickBot="1" x14ac:dyDescent="0.3"/>
    <row r="13" spans="1:11" ht="33.75" thickBot="1" x14ac:dyDescent="0.3">
      <c r="A13" s="352" t="s">
        <v>107</v>
      </c>
      <c r="B13" s="353"/>
      <c r="C13" s="353"/>
      <c r="D13" s="353"/>
      <c r="E13" s="353"/>
      <c r="F13" s="353"/>
      <c r="G13" s="353"/>
      <c r="H13" s="353"/>
      <c r="I13" s="353"/>
      <c r="J13" s="353"/>
      <c r="K13" s="354"/>
    </row>
    <row r="14" spans="1:11" ht="19.899999999999999" customHeight="1" x14ac:dyDescent="0.25">
      <c r="A14" s="365" t="s">
        <v>405</v>
      </c>
      <c r="B14" s="366"/>
      <c r="C14" s="366"/>
      <c r="D14" s="272">
        <f>Labor!B13</f>
        <v>0</v>
      </c>
      <c r="E14" s="7"/>
      <c r="F14" s="357" t="s">
        <v>411</v>
      </c>
      <c r="G14" s="358"/>
      <c r="H14" s="358"/>
      <c r="I14" s="269">
        <v>85</v>
      </c>
    </row>
    <row r="15" spans="1:11" ht="19.899999999999999" customHeight="1" x14ac:dyDescent="0.25">
      <c r="A15" s="367" t="s">
        <v>406</v>
      </c>
      <c r="B15" s="368"/>
      <c r="C15" s="368"/>
      <c r="D15" s="151">
        <f>Outsourced!D14</f>
        <v>0</v>
      </c>
      <c r="E15" s="7"/>
      <c r="F15" s="363" t="s">
        <v>412</v>
      </c>
      <c r="G15" s="364"/>
      <c r="H15" s="364"/>
      <c r="I15" s="270">
        <v>65</v>
      </c>
    </row>
    <row r="16" spans="1:11" ht="19.899999999999999" customHeight="1" x14ac:dyDescent="0.25">
      <c r="A16" s="367" t="s">
        <v>407</v>
      </c>
      <c r="B16" s="368"/>
      <c r="C16" s="368"/>
      <c r="D16" s="151">
        <f>Labor!B27</f>
        <v>0</v>
      </c>
      <c r="E16" s="7"/>
      <c r="F16" s="363" t="s">
        <v>413</v>
      </c>
      <c r="G16" s="364"/>
      <c r="H16" s="364"/>
      <c r="I16" s="270">
        <v>100</v>
      </c>
    </row>
    <row r="17" spans="1:11" ht="19.899999999999999" customHeight="1" x14ac:dyDescent="0.25">
      <c r="A17" s="367" t="s">
        <v>404</v>
      </c>
      <c r="B17" s="368"/>
      <c r="C17" s="368"/>
      <c r="D17" s="273"/>
      <c r="E17" s="8"/>
      <c r="F17" s="151">
        <v>300</v>
      </c>
      <c r="G17" s="363" t="s">
        <v>414</v>
      </c>
      <c r="H17" s="364"/>
      <c r="I17" s="274">
        <v>38</v>
      </c>
    </row>
    <row r="18" spans="1:11" ht="19.899999999999999" customHeight="1" x14ac:dyDescent="0.25">
      <c r="A18" s="367" t="s">
        <v>408</v>
      </c>
      <c r="B18" s="369"/>
      <c r="C18" s="369"/>
      <c r="D18" s="151">
        <f>Structural!C15+Misc.!C14</f>
        <v>0</v>
      </c>
      <c r="E18" s="8"/>
      <c r="F18" s="389" t="s">
        <v>415</v>
      </c>
      <c r="G18" s="390"/>
      <c r="H18" s="390"/>
      <c r="I18" s="274">
        <v>0.45</v>
      </c>
    </row>
    <row r="19" spans="1:11" ht="19.899999999999999" customHeight="1" x14ac:dyDescent="0.25">
      <c r="A19" s="367" t="s">
        <v>409</v>
      </c>
      <c r="B19" s="369"/>
      <c r="C19" s="369"/>
      <c r="D19" s="273"/>
      <c r="E19" s="7"/>
      <c r="F19" s="380" t="s">
        <v>416</v>
      </c>
      <c r="G19" s="398"/>
      <c r="H19" s="399"/>
      <c r="I19" s="270">
        <v>1500</v>
      </c>
    </row>
    <row r="20" spans="1:11" ht="19.899999999999999" customHeight="1" x14ac:dyDescent="0.25">
      <c r="A20" s="367" t="s">
        <v>410</v>
      </c>
      <c r="B20" s="369"/>
      <c r="C20" s="369"/>
      <c r="D20" s="273"/>
      <c r="E20" s="7"/>
      <c r="F20" s="380" t="s">
        <v>417</v>
      </c>
      <c r="G20" s="381"/>
      <c r="H20" s="382"/>
      <c r="I20" s="270">
        <v>1000</v>
      </c>
    </row>
    <row r="21" spans="1:11" ht="7.9" customHeight="1" thickBot="1" x14ac:dyDescent="0.3"/>
    <row r="22" spans="1:11" ht="33.75" thickBot="1" x14ac:dyDescent="0.3">
      <c r="A22" s="352" t="s">
        <v>108</v>
      </c>
      <c r="B22" s="353"/>
      <c r="C22" s="353"/>
      <c r="D22" s="353"/>
      <c r="E22" s="353"/>
      <c r="F22" s="353"/>
      <c r="G22" s="353"/>
      <c r="H22" s="353"/>
      <c r="I22" s="353"/>
      <c r="J22" s="353"/>
      <c r="K22" s="354"/>
    </row>
    <row r="23" spans="1:11" ht="15.6" customHeight="1" x14ac:dyDescent="0.25">
      <c r="A23" s="374" t="s">
        <v>38</v>
      </c>
      <c r="B23" s="375"/>
      <c r="C23" s="376"/>
      <c r="D23" s="372" t="s">
        <v>37</v>
      </c>
      <c r="E23" s="400" t="s">
        <v>35</v>
      </c>
      <c r="F23" s="401"/>
      <c r="G23" s="370" t="s">
        <v>32</v>
      </c>
      <c r="H23" s="383" t="s">
        <v>33</v>
      </c>
      <c r="I23" s="370" t="s">
        <v>34</v>
      </c>
      <c r="J23" s="385" t="s">
        <v>106</v>
      </c>
      <c r="K23" s="386"/>
    </row>
    <row r="24" spans="1:11" x14ac:dyDescent="0.25">
      <c r="A24" s="377"/>
      <c r="B24" s="378"/>
      <c r="C24" s="379"/>
      <c r="D24" s="373"/>
      <c r="E24" s="11" t="s">
        <v>31</v>
      </c>
      <c r="F24" s="11" t="s">
        <v>36</v>
      </c>
      <c r="G24" s="371"/>
      <c r="H24" s="384"/>
      <c r="I24" s="371"/>
      <c r="J24" s="387"/>
      <c r="K24" s="388"/>
    </row>
    <row r="25" spans="1:11" ht="19.149999999999999" customHeight="1" x14ac:dyDescent="0.25">
      <c r="A25" s="346" t="s">
        <v>18</v>
      </c>
      <c r="B25" s="347"/>
      <c r="C25" s="348"/>
      <c r="D25" s="152"/>
      <c r="E25" s="267">
        <v>0.1</v>
      </c>
      <c r="F25" s="62">
        <f>D25*E25</f>
        <v>0</v>
      </c>
      <c r="G25" s="62">
        <f>D25+F25</f>
        <v>0</v>
      </c>
      <c r="H25" s="62" t="str">
        <f>IFERROR((D25/$B$11),"")</f>
        <v/>
      </c>
      <c r="I25" s="61" t="str">
        <f t="shared" ref="I25:I49" si="0">IFERROR((G25/$G$53),"")</f>
        <v/>
      </c>
      <c r="J25" s="344"/>
      <c r="K25" s="345"/>
    </row>
    <row r="26" spans="1:11" ht="19.149999999999999" customHeight="1" x14ac:dyDescent="0.25">
      <c r="A26" s="346" t="s">
        <v>19</v>
      </c>
      <c r="B26" s="347"/>
      <c r="C26" s="348"/>
      <c r="D26" s="152"/>
      <c r="E26" s="267">
        <v>0.1</v>
      </c>
      <c r="F26" s="62">
        <f t="shared" ref="F26:F49" si="1">D26*E26</f>
        <v>0</v>
      </c>
      <c r="G26" s="62">
        <f t="shared" ref="G26:G49" si="2">D26+F26</f>
        <v>0</v>
      </c>
      <c r="H26" s="62" t="str">
        <f t="shared" ref="H26:H48" si="3">IFERROR((D26/$B$11),"")</f>
        <v/>
      </c>
      <c r="I26" s="61" t="str">
        <f t="shared" si="0"/>
        <v/>
      </c>
      <c r="J26" s="344"/>
      <c r="K26" s="345"/>
    </row>
    <row r="27" spans="1:11" ht="19.149999999999999" customHeight="1" x14ac:dyDescent="0.25">
      <c r="A27" s="349" t="s">
        <v>20</v>
      </c>
      <c r="B27" s="351"/>
      <c r="C27" s="351"/>
      <c r="D27" s="152"/>
      <c r="E27" s="267">
        <v>0.1</v>
      </c>
      <c r="F27" s="62">
        <f t="shared" si="1"/>
        <v>0</v>
      </c>
      <c r="G27" s="62">
        <f t="shared" si="2"/>
        <v>0</v>
      </c>
      <c r="H27" s="62" t="str">
        <f t="shared" si="3"/>
        <v/>
      </c>
      <c r="I27" s="61" t="str">
        <f t="shared" si="0"/>
        <v/>
      </c>
      <c r="J27" s="344"/>
      <c r="K27" s="345"/>
    </row>
    <row r="28" spans="1:11" ht="19.149999999999999" customHeight="1" x14ac:dyDescent="0.25">
      <c r="A28" s="346" t="s">
        <v>41</v>
      </c>
      <c r="B28" s="347"/>
      <c r="C28" s="348"/>
      <c r="D28" s="214">
        <f>Structural!F15</f>
        <v>0</v>
      </c>
      <c r="E28" s="267">
        <v>0.1</v>
      </c>
      <c r="F28" s="62">
        <f t="shared" si="1"/>
        <v>0</v>
      </c>
      <c r="G28" s="62">
        <f t="shared" si="2"/>
        <v>0</v>
      </c>
      <c r="H28" s="62" t="str">
        <f t="shared" si="3"/>
        <v/>
      </c>
      <c r="I28" s="61" t="str">
        <f t="shared" si="0"/>
        <v/>
      </c>
      <c r="J28" s="344"/>
      <c r="K28" s="345"/>
    </row>
    <row r="29" spans="1:11" ht="19.149999999999999" customHeight="1" x14ac:dyDescent="0.25">
      <c r="A29" s="349" t="s">
        <v>45</v>
      </c>
      <c r="B29" s="350"/>
      <c r="C29" s="350"/>
      <c r="D29" s="214">
        <f>Structural!D25</f>
        <v>0</v>
      </c>
      <c r="E29" s="267">
        <v>0.1</v>
      </c>
      <c r="F29" s="62">
        <f>D29*E29</f>
        <v>0</v>
      </c>
      <c r="G29" s="62">
        <f>D29+F29</f>
        <v>0</v>
      </c>
      <c r="H29" s="62" t="str">
        <f>IFERROR((D29/$B$11),"")</f>
        <v/>
      </c>
      <c r="I29" s="61" t="str">
        <f t="shared" si="0"/>
        <v/>
      </c>
      <c r="J29" s="344"/>
      <c r="K29" s="345"/>
    </row>
    <row r="30" spans="1:11" ht="19.149999999999999" customHeight="1" x14ac:dyDescent="0.25">
      <c r="A30" s="346" t="s">
        <v>42</v>
      </c>
      <c r="B30" s="347"/>
      <c r="C30" s="348"/>
      <c r="D30" s="152"/>
      <c r="E30" s="267">
        <v>0.1</v>
      </c>
      <c r="F30" s="62">
        <f t="shared" si="1"/>
        <v>0</v>
      </c>
      <c r="G30" s="62">
        <f t="shared" si="2"/>
        <v>0</v>
      </c>
      <c r="H30" s="62" t="str">
        <f t="shared" si="3"/>
        <v/>
      </c>
      <c r="I30" s="61" t="str">
        <f t="shared" si="0"/>
        <v/>
      </c>
      <c r="J30" s="344"/>
      <c r="K30" s="345"/>
    </row>
    <row r="31" spans="1:11" ht="19.149999999999999" customHeight="1" x14ac:dyDescent="0.25">
      <c r="A31" s="346" t="s">
        <v>14</v>
      </c>
      <c r="B31" s="347"/>
      <c r="C31" s="348"/>
      <c r="D31" s="214">
        <f>Labor!D13-Labor!D5-Labor!D19</f>
        <v>0</v>
      </c>
      <c r="E31" s="267">
        <v>0.1</v>
      </c>
      <c r="F31" s="62">
        <f t="shared" si="1"/>
        <v>0</v>
      </c>
      <c r="G31" s="62">
        <f t="shared" si="2"/>
        <v>0</v>
      </c>
      <c r="H31" s="62" t="str">
        <f t="shared" si="3"/>
        <v/>
      </c>
      <c r="I31" s="61" t="str">
        <f t="shared" si="0"/>
        <v/>
      </c>
      <c r="J31" s="344"/>
      <c r="K31" s="345"/>
    </row>
    <row r="32" spans="1:11" ht="19.149999999999999" customHeight="1" x14ac:dyDescent="0.25">
      <c r="A32" s="346" t="s">
        <v>17</v>
      </c>
      <c r="B32" s="347"/>
      <c r="C32" s="348"/>
      <c r="D32" s="214">
        <f>(D18*I18)+(D19*I19)</f>
        <v>0</v>
      </c>
      <c r="E32" s="267">
        <v>0.1</v>
      </c>
      <c r="F32" s="62">
        <f t="shared" si="1"/>
        <v>0</v>
      </c>
      <c r="G32" s="62">
        <f t="shared" si="2"/>
        <v>0</v>
      </c>
      <c r="H32" s="62" t="str">
        <f t="shared" si="3"/>
        <v/>
      </c>
      <c r="I32" s="61" t="str">
        <f t="shared" si="0"/>
        <v/>
      </c>
      <c r="J32" s="344"/>
      <c r="K32" s="345"/>
    </row>
    <row r="33" spans="1:11" ht="19.149999999999999" customHeight="1" x14ac:dyDescent="0.25">
      <c r="A33" s="349" t="s">
        <v>22</v>
      </c>
      <c r="B33" s="350"/>
      <c r="C33" s="350"/>
      <c r="D33" s="152"/>
      <c r="E33" s="267">
        <v>0.1</v>
      </c>
      <c r="F33" s="62">
        <f t="shared" si="1"/>
        <v>0</v>
      </c>
      <c r="G33" s="62">
        <f t="shared" si="2"/>
        <v>0</v>
      </c>
      <c r="H33" s="62" t="str">
        <f t="shared" si="3"/>
        <v/>
      </c>
      <c r="I33" s="61" t="str">
        <f t="shared" si="0"/>
        <v/>
      </c>
      <c r="J33" s="344"/>
      <c r="K33" s="345"/>
    </row>
    <row r="34" spans="1:11" ht="19.149999999999999" customHeight="1" x14ac:dyDescent="0.25">
      <c r="A34" s="346" t="s">
        <v>21</v>
      </c>
      <c r="B34" s="347"/>
      <c r="C34" s="348"/>
      <c r="D34" s="214">
        <f>'J&amp;D'!D8</f>
        <v>0</v>
      </c>
      <c r="E34" s="267">
        <v>0.1</v>
      </c>
      <c r="F34" s="62">
        <f t="shared" si="1"/>
        <v>0</v>
      </c>
      <c r="G34" s="62">
        <f t="shared" si="2"/>
        <v>0</v>
      </c>
      <c r="H34" s="62" t="str">
        <f t="shared" si="3"/>
        <v/>
      </c>
      <c r="I34" s="61" t="str">
        <f t="shared" si="0"/>
        <v/>
      </c>
      <c r="J34" s="344"/>
      <c r="K34" s="345"/>
    </row>
    <row r="35" spans="1:11" ht="19.149999999999999" customHeight="1" x14ac:dyDescent="0.25">
      <c r="A35" s="349" t="s">
        <v>364</v>
      </c>
      <c r="B35" s="350"/>
      <c r="C35" s="350"/>
      <c r="D35" s="214">
        <f>Structural!D35</f>
        <v>0</v>
      </c>
      <c r="E35" s="267">
        <v>0.1</v>
      </c>
      <c r="F35" s="62">
        <f t="shared" si="1"/>
        <v>0</v>
      </c>
      <c r="G35" s="62">
        <f t="shared" si="2"/>
        <v>0</v>
      </c>
      <c r="H35" s="62" t="str">
        <f t="shared" si="3"/>
        <v/>
      </c>
      <c r="I35" s="61" t="str">
        <f t="shared" si="0"/>
        <v/>
      </c>
      <c r="J35" s="344"/>
      <c r="K35" s="345"/>
    </row>
    <row r="36" spans="1:11" ht="19.149999999999999" customHeight="1" x14ac:dyDescent="0.25">
      <c r="A36" s="346" t="s">
        <v>16</v>
      </c>
      <c r="B36" s="347"/>
      <c r="C36" s="348"/>
      <c r="D36" s="214">
        <f>((D17/F17)*I17)+Labor!D5+Labor!D19</f>
        <v>0</v>
      </c>
      <c r="E36" s="267">
        <v>0.1</v>
      </c>
      <c r="F36" s="62">
        <f t="shared" si="1"/>
        <v>0</v>
      </c>
      <c r="G36" s="62">
        <f t="shared" si="2"/>
        <v>0</v>
      </c>
      <c r="H36" s="62" t="str">
        <f t="shared" si="3"/>
        <v/>
      </c>
      <c r="I36" s="61" t="str">
        <f t="shared" si="0"/>
        <v/>
      </c>
      <c r="J36" s="344"/>
      <c r="K36" s="345"/>
    </row>
    <row r="37" spans="1:11" ht="19.149999999999999" customHeight="1" x14ac:dyDescent="0.25">
      <c r="A37" s="349" t="s">
        <v>23</v>
      </c>
      <c r="B37" s="350"/>
      <c r="C37" s="350"/>
      <c r="D37" s="214">
        <f>Misc.!F6</f>
        <v>0</v>
      </c>
      <c r="E37" s="267">
        <v>0.1</v>
      </c>
      <c r="F37" s="62">
        <f t="shared" si="1"/>
        <v>0</v>
      </c>
      <c r="G37" s="62">
        <f t="shared" si="2"/>
        <v>0</v>
      </c>
      <c r="H37" s="62" t="str">
        <f t="shared" si="3"/>
        <v/>
      </c>
      <c r="I37" s="61" t="str">
        <f t="shared" si="0"/>
        <v/>
      </c>
      <c r="J37" s="344"/>
      <c r="K37" s="345"/>
    </row>
    <row r="38" spans="1:11" ht="19.149999999999999" customHeight="1" x14ac:dyDescent="0.25">
      <c r="A38" s="349" t="s">
        <v>25</v>
      </c>
      <c r="B38" s="351"/>
      <c r="C38" s="351"/>
      <c r="D38" s="152"/>
      <c r="E38" s="267">
        <v>0.1</v>
      </c>
      <c r="F38" s="62">
        <f t="shared" si="1"/>
        <v>0</v>
      </c>
      <c r="G38" s="62">
        <f t="shared" si="2"/>
        <v>0</v>
      </c>
      <c r="H38" s="62" t="str">
        <f t="shared" si="3"/>
        <v/>
      </c>
      <c r="I38" s="61" t="str">
        <f t="shared" si="0"/>
        <v/>
      </c>
      <c r="J38" s="344"/>
      <c r="K38" s="345"/>
    </row>
    <row r="39" spans="1:11" ht="19.149999999999999" customHeight="1" x14ac:dyDescent="0.25">
      <c r="A39" s="349" t="s">
        <v>26</v>
      </c>
      <c r="B39" s="351"/>
      <c r="C39" s="351"/>
      <c r="D39" s="152"/>
      <c r="E39" s="267">
        <v>0.1</v>
      </c>
      <c r="F39" s="62">
        <f t="shared" si="1"/>
        <v>0</v>
      </c>
      <c r="G39" s="62">
        <f t="shared" si="2"/>
        <v>0</v>
      </c>
      <c r="H39" s="62" t="str">
        <f t="shared" si="3"/>
        <v/>
      </c>
      <c r="I39" s="61" t="str">
        <f t="shared" si="0"/>
        <v/>
      </c>
      <c r="J39" s="344"/>
      <c r="K39" s="345"/>
    </row>
    <row r="40" spans="1:11" ht="19.149999999999999" customHeight="1" x14ac:dyDescent="0.25">
      <c r="A40" s="346" t="s">
        <v>43</v>
      </c>
      <c r="B40" s="347"/>
      <c r="C40" s="348"/>
      <c r="D40" s="214">
        <f>D20*I20</f>
        <v>0</v>
      </c>
      <c r="E40" s="267">
        <v>0.1</v>
      </c>
      <c r="F40" s="62">
        <f t="shared" si="1"/>
        <v>0</v>
      </c>
      <c r="G40" s="62">
        <f t="shared" si="2"/>
        <v>0</v>
      </c>
      <c r="H40" s="62" t="str">
        <f t="shared" si="3"/>
        <v/>
      </c>
      <c r="I40" s="61" t="str">
        <f t="shared" si="0"/>
        <v/>
      </c>
      <c r="J40" s="344"/>
      <c r="K40" s="345"/>
    </row>
    <row r="41" spans="1:11" ht="19.149999999999999" customHeight="1" x14ac:dyDescent="0.25">
      <c r="A41" s="346" t="s">
        <v>15</v>
      </c>
      <c r="B41" s="347"/>
      <c r="C41" s="348"/>
      <c r="D41" s="214">
        <f>Labor!D27</f>
        <v>0</v>
      </c>
      <c r="E41" s="267">
        <v>0.1</v>
      </c>
      <c r="F41" s="62">
        <f t="shared" si="1"/>
        <v>0</v>
      </c>
      <c r="G41" s="62">
        <f t="shared" si="2"/>
        <v>0</v>
      </c>
      <c r="H41" s="62" t="str">
        <f t="shared" si="3"/>
        <v/>
      </c>
      <c r="I41" s="61" t="str">
        <f t="shared" si="0"/>
        <v/>
      </c>
      <c r="J41" s="344"/>
      <c r="K41" s="345"/>
    </row>
    <row r="42" spans="1:11" ht="19.149999999999999" customHeight="1" x14ac:dyDescent="0.25">
      <c r="A42" s="349" t="s">
        <v>39</v>
      </c>
      <c r="B42" s="350"/>
      <c r="C42" s="404"/>
      <c r="D42" s="214">
        <f>Misc.!F14-Misc.!F6</f>
        <v>0</v>
      </c>
      <c r="E42" s="267">
        <v>0.1</v>
      </c>
      <c r="F42" s="62">
        <f t="shared" si="1"/>
        <v>0</v>
      </c>
      <c r="G42" s="62">
        <f t="shared" si="2"/>
        <v>0</v>
      </c>
      <c r="H42" s="62" t="str">
        <f t="shared" si="3"/>
        <v/>
      </c>
      <c r="I42" s="61" t="str">
        <f t="shared" si="0"/>
        <v/>
      </c>
      <c r="J42" s="344"/>
      <c r="K42" s="345"/>
    </row>
    <row r="43" spans="1:11" ht="19.149999999999999" customHeight="1" x14ac:dyDescent="0.25">
      <c r="A43" s="346" t="s">
        <v>40</v>
      </c>
      <c r="B43" s="347"/>
      <c r="C43" s="348"/>
      <c r="D43" s="152"/>
      <c r="E43" s="267">
        <v>0.1</v>
      </c>
      <c r="F43" s="62">
        <f t="shared" si="1"/>
        <v>0</v>
      </c>
      <c r="G43" s="62">
        <f t="shared" si="2"/>
        <v>0</v>
      </c>
      <c r="H43" s="62" t="str">
        <f t="shared" si="3"/>
        <v/>
      </c>
      <c r="I43" s="61" t="str">
        <f t="shared" si="0"/>
        <v/>
      </c>
      <c r="J43" s="344"/>
      <c r="K43" s="345"/>
    </row>
    <row r="44" spans="1:11" ht="19.149999999999999" customHeight="1" x14ac:dyDescent="0.25">
      <c r="A44" s="349" t="s">
        <v>367</v>
      </c>
      <c r="B44" s="351"/>
      <c r="C44" s="351"/>
      <c r="D44" s="214">
        <f>Outsourced!B14+Outsourced!E14</f>
        <v>0</v>
      </c>
      <c r="E44" s="267">
        <v>0.1</v>
      </c>
      <c r="F44" s="62">
        <f t="shared" si="1"/>
        <v>0</v>
      </c>
      <c r="G44" s="62">
        <f t="shared" si="2"/>
        <v>0</v>
      </c>
      <c r="H44" s="62" t="str">
        <f t="shared" si="3"/>
        <v/>
      </c>
      <c r="I44" s="61" t="str">
        <f t="shared" si="0"/>
        <v/>
      </c>
      <c r="J44" s="344"/>
      <c r="K44" s="345"/>
    </row>
    <row r="45" spans="1:11" ht="19.149999999999999" customHeight="1" x14ac:dyDescent="0.25">
      <c r="A45" s="349" t="s">
        <v>27</v>
      </c>
      <c r="B45" s="351"/>
      <c r="C45" s="351"/>
      <c r="D45" s="152"/>
      <c r="E45" s="267">
        <v>0.1</v>
      </c>
      <c r="F45" s="62">
        <f t="shared" si="1"/>
        <v>0</v>
      </c>
      <c r="G45" s="62">
        <f t="shared" si="2"/>
        <v>0</v>
      </c>
      <c r="H45" s="62" t="str">
        <f t="shared" si="3"/>
        <v/>
      </c>
      <c r="I45" s="61" t="str">
        <f t="shared" si="0"/>
        <v/>
      </c>
      <c r="J45" s="344"/>
      <c r="K45" s="345"/>
    </row>
    <row r="46" spans="1:11" ht="19.149999999999999" customHeight="1" x14ac:dyDescent="0.25">
      <c r="A46" s="349" t="s">
        <v>352</v>
      </c>
      <c r="B46" s="350"/>
      <c r="C46" s="350"/>
      <c r="D46" s="214">
        <f>Allowance!B10</f>
        <v>0</v>
      </c>
      <c r="E46" s="61">
        <v>0</v>
      </c>
      <c r="F46" s="62">
        <f>D46</f>
        <v>0</v>
      </c>
      <c r="G46" s="62">
        <f t="shared" si="2"/>
        <v>0</v>
      </c>
      <c r="H46" s="62" t="str">
        <f t="shared" si="3"/>
        <v/>
      </c>
      <c r="I46" s="61" t="str">
        <f t="shared" si="0"/>
        <v/>
      </c>
      <c r="J46" s="344"/>
      <c r="K46" s="345"/>
    </row>
    <row r="47" spans="1:11" ht="19.149999999999999" customHeight="1" x14ac:dyDescent="0.25">
      <c r="A47" s="349" t="s">
        <v>28</v>
      </c>
      <c r="B47" s="350"/>
      <c r="C47" s="350"/>
      <c r="D47" s="152"/>
      <c r="E47" s="267">
        <v>0.1</v>
      </c>
      <c r="F47" s="62">
        <f t="shared" si="1"/>
        <v>0</v>
      </c>
      <c r="G47" s="62">
        <f t="shared" si="2"/>
        <v>0</v>
      </c>
      <c r="H47" s="62" t="str">
        <f t="shared" si="3"/>
        <v/>
      </c>
      <c r="I47" s="61" t="str">
        <f t="shared" si="0"/>
        <v/>
      </c>
      <c r="J47" s="344"/>
      <c r="K47" s="345"/>
    </row>
    <row r="48" spans="1:11" ht="19.149999999999999" customHeight="1" x14ac:dyDescent="0.25">
      <c r="A48" s="349" t="s">
        <v>29</v>
      </c>
      <c r="B48" s="350"/>
      <c r="C48" s="350"/>
      <c r="D48" s="214">
        <f>'Addtn''l (AKP)'!D8</f>
        <v>0</v>
      </c>
      <c r="E48" s="267">
        <v>0.1</v>
      </c>
      <c r="F48" s="62">
        <f t="shared" si="1"/>
        <v>0</v>
      </c>
      <c r="G48" s="62">
        <f t="shared" si="2"/>
        <v>0</v>
      </c>
      <c r="H48" s="62" t="str">
        <f t="shared" si="3"/>
        <v/>
      </c>
      <c r="I48" s="61" t="str">
        <f t="shared" si="0"/>
        <v/>
      </c>
      <c r="J48" s="344"/>
      <c r="K48" s="345"/>
    </row>
    <row r="49" spans="1:11" ht="19.149999999999999" customHeight="1" thickBot="1" x14ac:dyDescent="0.3">
      <c r="A49" s="402" t="s">
        <v>44</v>
      </c>
      <c r="B49" s="403"/>
      <c r="C49" s="403"/>
      <c r="D49" s="215">
        <f>'Addtn''l (AKP)'!E31</f>
        <v>0</v>
      </c>
      <c r="E49" s="267">
        <v>0.1</v>
      </c>
      <c r="F49" s="62">
        <f t="shared" si="1"/>
        <v>0</v>
      </c>
      <c r="G49" s="62">
        <f t="shared" si="2"/>
        <v>0</v>
      </c>
      <c r="H49" s="62" t="str">
        <f>IFERROR((D49/$B$11),"")</f>
        <v/>
      </c>
      <c r="I49" s="61" t="str">
        <f t="shared" si="0"/>
        <v/>
      </c>
      <c r="J49" s="359"/>
      <c r="K49" s="360"/>
    </row>
    <row r="50" spans="1:11" ht="19.149999999999999" customHeight="1" thickBot="1" x14ac:dyDescent="0.3">
      <c r="A50" s="391" t="s">
        <v>68</v>
      </c>
      <c r="B50" s="392"/>
      <c r="C50" s="393"/>
      <c r="D50" s="63">
        <f>SUM(D25:D49)</f>
        <v>0</v>
      </c>
      <c r="E50" s="64"/>
      <c r="F50" s="63">
        <f>SUM(F25:F49)</f>
        <v>0</v>
      </c>
      <c r="G50" s="63">
        <f>SUM(G25:G49)</f>
        <v>0</v>
      </c>
      <c r="H50" s="63" t="str">
        <f>IFERROR((D50/$B$11),"")</f>
        <v/>
      </c>
      <c r="I50" s="64"/>
      <c r="J50" s="355"/>
      <c r="K50" s="356"/>
    </row>
    <row r="51" spans="1:11" ht="19.149999999999999" customHeight="1" x14ac:dyDescent="0.25">
      <c r="A51" s="394" t="s">
        <v>30</v>
      </c>
      <c r="B51" s="395"/>
      <c r="C51" s="395"/>
      <c r="D51" s="216">
        <f>'Addtn''l (AKP)'!E17</f>
        <v>0</v>
      </c>
      <c r="E51" s="268">
        <v>0.1</v>
      </c>
      <c r="F51" s="62">
        <f>D51*E51</f>
        <v>0</v>
      </c>
      <c r="G51" s="62">
        <f>D51+F51</f>
        <v>0</v>
      </c>
      <c r="H51" s="62" t="str">
        <f>IFERROR((D51/$B$11),"")</f>
        <v/>
      </c>
      <c r="I51" s="61" t="str">
        <f>IFERROR((G51/$G$53),"")</f>
        <v/>
      </c>
      <c r="J51" s="361"/>
      <c r="K51" s="362"/>
    </row>
    <row r="52" spans="1:11" ht="35.450000000000003" customHeight="1" thickBot="1" x14ac:dyDescent="0.3">
      <c r="A52" s="396" t="s">
        <v>97</v>
      </c>
      <c r="B52" s="397"/>
      <c r="C52" s="397"/>
      <c r="D52" s="214">
        <f>'Addtn''l (AKP)'!E22</f>
        <v>0</v>
      </c>
      <c r="E52" s="267">
        <v>0.1</v>
      </c>
      <c r="F52" s="62">
        <f>D52*E52</f>
        <v>0</v>
      </c>
      <c r="G52" s="62">
        <f>D52+F52</f>
        <v>0</v>
      </c>
      <c r="H52" s="62" t="str">
        <f>IFERROR((D52/$B$11),"")</f>
        <v/>
      </c>
      <c r="I52" s="61" t="str">
        <f>IFERROR((G52/$G$53),"")</f>
        <v/>
      </c>
      <c r="J52" s="344"/>
      <c r="K52" s="345"/>
    </row>
    <row r="53" spans="1:11" ht="19.149999999999999" customHeight="1" thickBot="1" x14ac:dyDescent="0.3">
      <c r="A53" s="391" t="s">
        <v>49</v>
      </c>
      <c r="B53" s="392"/>
      <c r="C53" s="393"/>
      <c r="D53" s="63">
        <f>SUM(D50:D52)</f>
        <v>0</v>
      </c>
      <c r="E53" s="64"/>
      <c r="F53" s="63">
        <f>SUM(F50:F52)</f>
        <v>0</v>
      </c>
      <c r="G53" s="63">
        <f>SUM(G50:G52)</f>
        <v>0</v>
      </c>
      <c r="H53" s="63" t="str">
        <f>IFERROR((D53/$B$11),"")</f>
        <v/>
      </c>
      <c r="I53" s="64"/>
      <c r="J53" s="355"/>
      <c r="K53" s="356"/>
    </row>
    <row r="56" spans="1:11" x14ac:dyDescent="0.25">
      <c r="A56" s="42" t="s">
        <v>359</v>
      </c>
      <c r="B56" s="147" t="s">
        <v>360</v>
      </c>
    </row>
    <row r="57" spans="1:11" x14ac:dyDescent="0.25">
      <c r="A57" s="42" t="s">
        <v>120</v>
      </c>
      <c r="B57" s="147" t="s">
        <v>361</v>
      </c>
    </row>
  </sheetData>
  <mergeCells count="93">
    <mergeCell ref="I4:K4"/>
    <mergeCell ref="A35:C35"/>
    <mergeCell ref="J35:K35"/>
    <mergeCell ref="A29:C29"/>
    <mergeCell ref="J29:K29"/>
    <mergeCell ref="A10:B10"/>
    <mergeCell ref="C10:H10"/>
    <mergeCell ref="J11:K11"/>
    <mergeCell ref="A9:B9"/>
    <mergeCell ref="I23:I24"/>
    <mergeCell ref="I6:J6"/>
    <mergeCell ref="G9:H9"/>
    <mergeCell ref="C9:F9"/>
    <mergeCell ref="I9:K9"/>
    <mergeCell ref="I10:K10"/>
    <mergeCell ref="E11:F11"/>
    <mergeCell ref="A53:C53"/>
    <mergeCell ref="E23:F23"/>
    <mergeCell ref="A34:C34"/>
    <mergeCell ref="A47:C47"/>
    <mergeCell ref="A48:C48"/>
    <mergeCell ref="A49:C49"/>
    <mergeCell ref="A44:C44"/>
    <mergeCell ref="A46:C46"/>
    <mergeCell ref="A43:C43"/>
    <mergeCell ref="A42:C42"/>
    <mergeCell ref="A41:C41"/>
    <mergeCell ref="A36:C36"/>
    <mergeCell ref="A37:C37"/>
    <mergeCell ref="J52:K52"/>
    <mergeCell ref="G17:H17"/>
    <mergeCell ref="F18:H18"/>
    <mergeCell ref="A45:C45"/>
    <mergeCell ref="J45:K45"/>
    <mergeCell ref="A25:C25"/>
    <mergeCell ref="J25:K25"/>
    <mergeCell ref="A26:C26"/>
    <mergeCell ref="A50:C50"/>
    <mergeCell ref="A51:C51"/>
    <mergeCell ref="A52:C52"/>
    <mergeCell ref="F19:H19"/>
    <mergeCell ref="A30:C30"/>
    <mergeCell ref="J26:K26"/>
    <mergeCell ref="A27:C27"/>
    <mergeCell ref="J40:K40"/>
    <mergeCell ref="J30:K30"/>
    <mergeCell ref="A14:C14"/>
    <mergeCell ref="A15:C15"/>
    <mergeCell ref="F15:H15"/>
    <mergeCell ref="A16:C16"/>
    <mergeCell ref="A18:C18"/>
    <mergeCell ref="A17:C17"/>
    <mergeCell ref="A19:C19"/>
    <mergeCell ref="A22:K22"/>
    <mergeCell ref="A20:C20"/>
    <mergeCell ref="G23:G24"/>
    <mergeCell ref="D23:D24"/>
    <mergeCell ref="A23:C24"/>
    <mergeCell ref="F20:H20"/>
    <mergeCell ref="H23:H24"/>
    <mergeCell ref="J23:K24"/>
    <mergeCell ref="J53:K53"/>
    <mergeCell ref="J50:K50"/>
    <mergeCell ref="F14:H14"/>
    <mergeCell ref="J46:K46"/>
    <mergeCell ref="J47:K47"/>
    <mergeCell ref="J48:K48"/>
    <mergeCell ref="J49:K49"/>
    <mergeCell ref="J51:K51"/>
    <mergeCell ref="J44:K44"/>
    <mergeCell ref="J37:K37"/>
    <mergeCell ref="J39:K39"/>
    <mergeCell ref="J43:K43"/>
    <mergeCell ref="J42:K42"/>
    <mergeCell ref="J36:K36"/>
    <mergeCell ref="J38:K38"/>
    <mergeCell ref="F16:H16"/>
    <mergeCell ref="H11:I11"/>
    <mergeCell ref="J41:K41"/>
    <mergeCell ref="J27:K27"/>
    <mergeCell ref="A32:C32"/>
    <mergeCell ref="J32:K32"/>
    <mergeCell ref="A33:C33"/>
    <mergeCell ref="J33:K33"/>
    <mergeCell ref="A28:C28"/>
    <mergeCell ref="J28:K28"/>
    <mergeCell ref="A40:C40"/>
    <mergeCell ref="A38:C38"/>
    <mergeCell ref="A39:C39"/>
    <mergeCell ref="A31:C31"/>
    <mergeCell ref="J31:K31"/>
    <mergeCell ref="J34:K34"/>
    <mergeCell ref="A13:K13"/>
  </mergeCells>
  <dataValidations count="1">
    <dataValidation type="list" allowBlank="1" showInputMessage="1" showErrorMessage="1" sqref="K3" xr:uid="{F3F92008-EB94-446F-A71F-E1D7552F7819}">
      <formula1>$A$56:$A$57</formula1>
    </dataValidation>
  </dataValidations>
  <hyperlinks>
    <hyperlink ref="B56" r:id="rId1" xr:uid="{283A8AEB-BCA6-46ED-9798-A9D69C420062}"/>
    <hyperlink ref="B57" r:id="rId2" xr:uid="{9198D196-67F7-492B-8C0C-D5C5EFFAE066}"/>
  </hyperlinks>
  <printOptions horizontalCentered="1"/>
  <pageMargins left="0" right="0" top="0.25" bottom="0" header="0.3" footer="0.3"/>
  <pageSetup scale="75" orientation="portrait" horizontalDpi="1200" verticalDpi="1200" r:id="rId3"/>
  <ignoredErrors>
    <ignoredError sqref="F46 G50" formula="1"/>
  </ignoredErrors>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25A8C-AFBB-43A6-9B9C-2C2938F0D7C8}">
  <dimension ref="A1:F35"/>
  <sheetViews>
    <sheetView workbookViewId="0">
      <selection activeCell="D14" sqref="D14"/>
    </sheetView>
  </sheetViews>
  <sheetFormatPr defaultRowHeight="15.75" x14ac:dyDescent="0.25"/>
  <cols>
    <col min="1" max="1" width="25.125" customWidth="1"/>
    <col min="2" max="4" width="10.75" customWidth="1"/>
    <col min="5" max="5" width="11.875" customWidth="1"/>
    <col min="6" max="6" width="12.375" bestFit="1" customWidth="1"/>
  </cols>
  <sheetData>
    <row r="1" spans="1:6" ht="25.9" customHeight="1" thickBot="1" x14ac:dyDescent="0.3">
      <c r="A1" s="421" t="s">
        <v>104</v>
      </c>
      <c r="B1" s="422"/>
      <c r="C1" s="422"/>
      <c r="D1" s="422"/>
      <c r="E1" s="422"/>
      <c r="F1" s="423"/>
    </row>
    <row r="2" spans="1:6" s="12" customFormat="1" x14ac:dyDescent="0.25">
      <c r="A2" s="427" t="s">
        <v>38</v>
      </c>
      <c r="B2" s="424" t="s">
        <v>46</v>
      </c>
      <c r="C2" s="425"/>
      <c r="D2" s="426"/>
      <c r="E2" s="431" t="s">
        <v>50</v>
      </c>
      <c r="F2" s="433" t="s">
        <v>58</v>
      </c>
    </row>
    <row r="3" spans="1:6" s="12" customFormat="1" ht="16.5" thickBot="1" x14ac:dyDescent="0.3">
      <c r="A3" s="428"/>
      <c r="B3" s="74" t="s">
        <v>52</v>
      </c>
      <c r="C3" s="75" t="s">
        <v>47</v>
      </c>
      <c r="D3" s="76" t="s">
        <v>49</v>
      </c>
      <c r="E3" s="432"/>
      <c r="F3" s="434"/>
    </row>
    <row r="4" spans="1:6" s="12" customFormat="1" x14ac:dyDescent="0.25">
      <c r="A4" s="17" t="s">
        <v>105</v>
      </c>
      <c r="B4" s="19"/>
      <c r="C4" s="13"/>
      <c r="D4" s="14">
        <f t="shared" ref="D4:D13" si="0">SUM(B4:C4)</f>
        <v>0</v>
      </c>
      <c r="E4" s="196"/>
      <c r="F4" s="217">
        <f t="shared" ref="F4:F13" si="1">D4*E4</f>
        <v>0</v>
      </c>
    </row>
    <row r="5" spans="1:6" s="12" customFormat="1" x14ac:dyDescent="0.25">
      <c r="A5" s="18" t="s">
        <v>48</v>
      </c>
      <c r="B5" s="20"/>
      <c r="C5" s="15"/>
      <c r="D5" s="16">
        <f t="shared" si="0"/>
        <v>0</v>
      </c>
      <c r="E5" s="197"/>
      <c r="F5" s="218">
        <f t="shared" si="1"/>
        <v>0</v>
      </c>
    </row>
    <row r="6" spans="1:6" s="12" customFormat="1" x14ac:dyDescent="0.25">
      <c r="A6" s="21" t="s">
        <v>55</v>
      </c>
      <c r="B6" s="20"/>
      <c r="C6" s="15"/>
      <c r="D6" s="16">
        <f t="shared" si="0"/>
        <v>0</v>
      </c>
      <c r="E6" s="197"/>
      <c r="F6" s="218">
        <f t="shared" si="1"/>
        <v>0</v>
      </c>
    </row>
    <row r="7" spans="1:6" s="12" customFormat="1" x14ac:dyDescent="0.25">
      <c r="A7" s="21"/>
      <c r="B7" s="20"/>
      <c r="C7" s="15"/>
      <c r="D7" s="16">
        <f t="shared" si="0"/>
        <v>0</v>
      </c>
      <c r="E7" s="197"/>
      <c r="F7" s="218">
        <f t="shared" si="1"/>
        <v>0</v>
      </c>
    </row>
    <row r="8" spans="1:6" s="12" customFormat="1" x14ac:dyDescent="0.25">
      <c r="A8" s="21"/>
      <c r="B8" s="20"/>
      <c r="C8" s="15"/>
      <c r="D8" s="16">
        <f t="shared" si="0"/>
        <v>0</v>
      </c>
      <c r="E8" s="197"/>
      <c r="F8" s="218">
        <f t="shared" si="1"/>
        <v>0</v>
      </c>
    </row>
    <row r="9" spans="1:6" s="12" customFormat="1" x14ac:dyDescent="0.25">
      <c r="A9" s="21"/>
      <c r="B9" s="20"/>
      <c r="C9" s="15"/>
      <c r="D9" s="16">
        <f t="shared" si="0"/>
        <v>0</v>
      </c>
      <c r="E9" s="197"/>
      <c r="F9" s="218">
        <f t="shared" si="1"/>
        <v>0</v>
      </c>
    </row>
    <row r="10" spans="1:6" s="12" customFormat="1" x14ac:dyDescent="0.25">
      <c r="A10" s="21"/>
      <c r="B10" s="20"/>
      <c r="C10" s="15"/>
      <c r="D10" s="16">
        <f t="shared" si="0"/>
        <v>0</v>
      </c>
      <c r="E10" s="197"/>
      <c r="F10" s="218">
        <f t="shared" si="1"/>
        <v>0</v>
      </c>
    </row>
    <row r="11" spans="1:6" s="12" customFormat="1" x14ac:dyDescent="0.25">
      <c r="A11" s="21"/>
      <c r="B11" s="20"/>
      <c r="C11" s="15"/>
      <c r="D11" s="16">
        <f t="shared" si="0"/>
        <v>0</v>
      </c>
      <c r="E11" s="197"/>
      <c r="F11" s="218">
        <f t="shared" si="1"/>
        <v>0</v>
      </c>
    </row>
    <row r="12" spans="1:6" s="12" customFormat="1" x14ac:dyDescent="0.25">
      <c r="A12" s="21"/>
      <c r="B12" s="20"/>
      <c r="C12" s="15"/>
      <c r="D12" s="16">
        <f t="shared" si="0"/>
        <v>0</v>
      </c>
      <c r="E12" s="197"/>
      <c r="F12" s="218">
        <f t="shared" si="1"/>
        <v>0</v>
      </c>
    </row>
    <row r="13" spans="1:6" s="12" customFormat="1" x14ac:dyDescent="0.25">
      <c r="A13" s="21"/>
      <c r="B13" s="20"/>
      <c r="C13" s="15"/>
      <c r="D13" s="16">
        <f t="shared" si="0"/>
        <v>0</v>
      </c>
      <c r="E13" s="197"/>
      <c r="F13" s="218">
        <f t="shared" si="1"/>
        <v>0</v>
      </c>
    </row>
    <row r="14" spans="1:6" s="12" customFormat="1" ht="16.5" thickBot="1" x14ac:dyDescent="0.3">
      <c r="A14" s="32" t="s">
        <v>54</v>
      </c>
      <c r="B14" s="20" t="s">
        <v>51</v>
      </c>
      <c r="C14" s="15" t="s">
        <v>51</v>
      </c>
      <c r="D14" s="224">
        <v>0</v>
      </c>
      <c r="E14" s="181"/>
      <c r="F14" s="218" cm="1">
        <f t="array" ref="F14">SUM(F4:F13*D14)</f>
        <v>0</v>
      </c>
    </row>
    <row r="15" spans="1:6" s="71" customFormat="1" ht="16.5" thickBot="1" x14ac:dyDescent="0.3">
      <c r="A15" s="177" t="s">
        <v>370</v>
      </c>
      <c r="B15" s="178">
        <f>SUM(B4:B14)</f>
        <v>0</v>
      </c>
      <c r="C15" s="178">
        <f>SUM(C4:C14)</f>
        <v>0</v>
      </c>
      <c r="D15" s="178">
        <f>SUM(D4:D13)</f>
        <v>0</v>
      </c>
      <c r="E15" s="73"/>
      <c r="F15" s="70">
        <f>SUM(F4:F14)</f>
        <v>0</v>
      </c>
    </row>
    <row r="16" spans="1:6" ht="16.5" thickBot="1" x14ac:dyDescent="0.3"/>
    <row r="17" spans="1:6" ht="25.9" customHeight="1" thickBot="1" x14ac:dyDescent="0.3">
      <c r="A17" s="435" t="s">
        <v>95</v>
      </c>
      <c r="B17" s="436"/>
      <c r="C17" s="436"/>
      <c r="D17" s="437"/>
      <c r="E17" s="26"/>
      <c r="F17" s="27"/>
    </row>
    <row r="18" spans="1:6" ht="16.5" thickBot="1" x14ac:dyDescent="0.3">
      <c r="A18" s="36" t="s">
        <v>38</v>
      </c>
      <c r="B18" s="22" t="s">
        <v>53</v>
      </c>
      <c r="C18" s="148" t="s">
        <v>368</v>
      </c>
      <c r="D18" s="176" t="s">
        <v>58</v>
      </c>
    </row>
    <row r="19" spans="1:6" x14ac:dyDescent="0.25">
      <c r="A19" s="35"/>
      <c r="B19" s="25"/>
      <c r="C19" s="198"/>
      <c r="D19" s="219">
        <f>B19*C19</f>
        <v>0</v>
      </c>
    </row>
    <row r="20" spans="1:6" x14ac:dyDescent="0.25">
      <c r="A20" s="21"/>
      <c r="B20" s="9"/>
      <c r="C20" s="199"/>
      <c r="D20" s="220">
        <f t="shared" ref="D20:D24" si="2">B20*C20</f>
        <v>0</v>
      </c>
    </row>
    <row r="21" spans="1:6" x14ac:dyDescent="0.25">
      <c r="A21" s="21"/>
      <c r="B21" s="9"/>
      <c r="C21" s="199"/>
      <c r="D21" s="220">
        <f t="shared" si="2"/>
        <v>0</v>
      </c>
    </row>
    <row r="22" spans="1:6" x14ac:dyDescent="0.25">
      <c r="A22" s="21"/>
      <c r="B22" s="9"/>
      <c r="C22" s="199"/>
      <c r="D22" s="220">
        <f t="shared" si="2"/>
        <v>0</v>
      </c>
    </row>
    <row r="23" spans="1:6" x14ac:dyDescent="0.25">
      <c r="A23" s="21"/>
      <c r="B23" s="9"/>
      <c r="C23" s="199"/>
      <c r="D23" s="220">
        <f t="shared" si="2"/>
        <v>0</v>
      </c>
    </row>
    <row r="24" spans="1:6" ht="16.5" thickBot="1" x14ac:dyDescent="0.3">
      <c r="A24" s="21"/>
      <c r="B24" s="9"/>
      <c r="C24" s="199"/>
      <c r="D24" s="220">
        <f t="shared" si="2"/>
        <v>0</v>
      </c>
    </row>
    <row r="25" spans="1:6" ht="16.5" thickBot="1" x14ac:dyDescent="0.3">
      <c r="A25" s="429" t="s">
        <v>49</v>
      </c>
      <c r="B25" s="430"/>
      <c r="C25" s="430"/>
      <c r="D25" s="203">
        <f>SUM(D19:D24)</f>
        <v>0</v>
      </c>
    </row>
    <row r="26" spans="1:6" ht="16.5" thickBot="1" x14ac:dyDescent="0.3"/>
    <row r="27" spans="1:6" ht="25.9" customHeight="1" thickBot="1" x14ac:dyDescent="0.3">
      <c r="A27" s="435" t="s">
        <v>363</v>
      </c>
      <c r="B27" s="436"/>
      <c r="C27" s="436"/>
      <c r="D27" s="437"/>
    </row>
    <row r="28" spans="1:6" ht="16.5" thickBot="1" x14ac:dyDescent="0.3">
      <c r="A28" s="36" t="s">
        <v>38</v>
      </c>
      <c r="B28" s="22" t="s">
        <v>53</v>
      </c>
      <c r="C28" s="148" t="s">
        <v>368</v>
      </c>
      <c r="D28" s="176" t="s">
        <v>58</v>
      </c>
    </row>
    <row r="29" spans="1:6" x14ac:dyDescent="0.25">
      <c r="A29" s="35"/>
      <c r="B29" s="25"/>
      <c r="C29" s="200"/>
      <c r="D29" s="221">
        <f>B29*C29</f>
        <v>0</v>
      </c>
    </row>
    <row r="30" spans="1:6" x14ac:dyDescent="0.25">
      <c r="A30" s="21"/>
      <c r="B30" s="9"/>
      <c r="C30" s="201"/>
      <c r="D30" s="222">
        <f t="shared" ref="D30:D34" si="3">B30*C30</f>
        <v>0</v>
      </c>
    </row>
    <row r="31" spans="1:6" x14ac:dyDescent="0.25">
      <c r="A31" s="21"/>
      <c r="B31" s="9"/>
      <c r="C31" s="201"/>
      <c r="D31" s="222">
        <f t="shared" si="3"/>
        <v>0</v>
      </c>
    </row>
    <row r="32" spans="1:6" x14ac:dyDescent="0.25">
      <c r="A32" s="21"/>
      <c r="B32" s="9"/>
      <c r="C32" s="201"/>
      <c r="D32" s="222">
        <f t="shared" si="3"/>
        <v>0</v>
      </c>
    </row>
    <row r="33" spans="1:4" x14ac:dyDescent="0.25">
      <c r="A33" s="21"/>
      <c r="B33" s="9"/>
      <c r="C33" s="201"/>
      <c r="D33" s="222">
        <f t="shared" si="3"/>
        <v>0</v>
      </c>
    </row>
    <row r="34" spans="1:4" ht="16.5" thickBot="1" x14ac:dyDescent="0.3">
      <c r="A34" s="33"/>
      <c r="B34" s="28"/>
      <c r="C34" s="202"/>
      <c r="D34" s="223">
        <f t="shared" si="3"/>
        <v>0</v>
      </c>
    </row>
    <row r="35" spans="1:4" ht="16.5" thickBot="1" x14ac:dyDescent="0.3">
      <c r="A35" s="429" t="s">
        <v>49</v>
      </c>
      <c r="B35" s="430"/>
      <c r="C35" s="430"/>
      <c r="D35" s="203">
        <f>SUM(D29:D34)</f>
        <v>0</v>
      </c>
    </row>
  </sheetData>
  <mergeCells count="9">
    <mergeCell ref="A1:F1"/>
    <mergeCell ref="B2:D2"/>
    <mergeCell ref="A2:A3"/>
    <mergeCell ref="A35:C35"/>
    <mergeCell ref="E2:E3"/>
    <mergeCell ref="F2:F3"/>
    <mergeCell ref="A27:D27"/>
    <mergeCell ref="A25:C25"/>
    <mergeCell ref="A17:D17"/>
  </mergeCells>
  <printOptions horizontalCentered="1"/>
  <pageMargins left="0.5" right="0.5" top="0.25" bottom="0.2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E145C-6D2A-41ED-BEDE-D0B8501703DE}">
  <dimension ref="A1:D17"/>
  <sheetViews>
    <sheetView workbookViewId="0">
      <selection activeCell="D2" sqref="D2"/>
    </sheetView>
  </sheetViews>
  <sheetFormatPr defaultRowHeight="15.75" x14ac:dyDescent="0.25"/>
  <cols>
    <col min="1" max="1" width="40.75" customWidth="1"/>
    <col min="2" max="4" width="15.75" customWidth="1"/>
  </cols>
  <sheetData>
    <row r="1" spans="1:4" ht="25.9" customHeight="1" thickBot="1" x14ac:dyDescent="0.3">
      <c r="A1" s="435" t="s">
        <v>99</v>
      </c>
      <c r="B1" s="436"/>
      <c r="C1" s="436"/>
      <c r="D1" s="437"/>
    </row>
    <row r="2" spans="1:4" ht="16.5" thickBot="1" x14ac:dyDescent="0.3">
      <c r="A2" s="41" t="s">
        <v>38</v>
      </c>
      <c r="B2" s="40" t="s">
        <v>100</v>
      </c>
      <c r="C2" s="23" t="s">
        <v>101</v>
      </c>
      <c r="D2" s="24" t="s">
        <v>58</v>
      </c>
    </row>
    <row r="3" spans="1:4" x14ac:dyDescent="0.25">
      <c r="A3" s="35"/>
      <c r="B3" s="77"/>
      <c r="C3" s="192"/>
      <c r="D3" s="225"/>
    </row>
    <row r="4" spans="1:4" x14ac:dyDescent="0.25">
      <c r="A4" s="21"/>
      <c r="B4" s="78"/>
      <c r="C4" s="193"/>
      <c r="D4" s="226"/>
    </row>
    <row r="5" spans="1:4" x14ac:dyDescent="0.25">
      <c r="A5" s="21"/>
      <c r="B5" s="78"/>
      <c r="C5" s="193"/>
      <c r="D5" s="226"/>
    </row>
    <row r="6" spans="1:4" x14ac:dyDescent="0.25">
      <c r="A6" s="21"/>
      <c r="B6" s="78"/>
      <c r="C6" s="193"/>
      <c r="D6" s="226"/>
    </row>
    <row r="7" spans="1:4" ht="16.5" thickBot="1" x14ac:dyDescent="0.3">
      <c r="A7" s="33"/>
      <c r="B7" s="79"/>
      <c r="C7" s="194"/>
      <c r="D7" s="227"/>
    </row>
    <row r="8" spans="1:4" ht="16.5" thickBot="1" x14ac:dyDescent="0.3">
      <c r="A8" s="29" t="s">
        <v>370</v>
      </c>
      <c r="B8" s="80">
        <f>SUM(B3:B7)</f>
        <v>0</v>
      </c>
      <c r="C8" s="195">
        <f>SUM(C3:C7)</f>
        <v>0</v>
      </c>
      <c r="D8" s="153">
        <v>0</v>
      </c>
    </row>
    <row r="9" spans="1:4" ht="16.5" thickBot="1" x14ac:dyDescent="0.3">
      <c r="D9" s="439" t="s">
        <v>392</v>
      </c>
    </row>
    <row r="10" spans="1:4" ht="26.25" thickBot="1" x14ac:dyDescent="0.3">
      <c r="A10" s="435" t="s">
        <v>102</v>
      </c>
      <c r="B10" s="438"/>
      <c r="C10" s="66"/>
      <c r="D10" s="440"/>
    </row>
    <row r="11" spans="1:4" ht="16.5" thickBot="1" x14ac:dyDescent="0.3">
      <c r="A11" s="41" t="s">
        <v>38</v>
      </c>
      <c r="B11" s="24" t="s">
        <v>103</v>
      </c>
      <c r="D11" s="441"/>
    </row>
    <row r="12" spans="1:4" ht="18.600000000000001" customHeight="1" x14ac:dyDescent="0.25">
      <c r="A12" s="35"/>
      <c r="B12" s="67"/>
      <c r="D12" s="441"/>
    </row>
    <row r="13" spans="1:4" x14ac:dyDescent="0.25">
      <c r="A13" s="21"/>
      <c r="B13" s="68"/>
    </row>
    <row r="14" spans="1:4" x14ac:dyDescent="0.25">
      <c r="A14" s="21"/>
      <c r="B14" s="68"/>
    </row>
    <row r="15" spans="1:4" x14ac:dyDescent="0.25">
      <c r="A15" s="21"/>
      <c r="B15" s="68"/>
    </row>
    <row r="16" spans="1:4" ht="16.5" thickBot="1" x14ac:dyDescent="0.3">
      <c r="A16" s="21"/>
      <c r="B16" s="68"/>
    </row>
    <row r="17" spans="1:2" ht="16.5" thickBot="1" x14ac:dyDescent="0.3">
      <c r="A17" s="29" t="s">
        <v>370</v>
      </c>
      <c r="B17" s="69">
        <f>SUM(B12:B16)</f>
        <v>0</v>
      </c>
    </row>
  </sheetData>
  <mergeCells count="3">
    <mergeCell ref="A1:D1"/>
    <mergeCell ref="A10:B10"/>
    <mergeCell ref="D9:D12"/>
  </mergeCells>
  <printOptions horizontalCentered="1"/>
  <pageMargins left="0.5" right="0.5"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600C6-BECF-4476-AD40-B3CA80451762}">
  <dimension ref="A1:F14"/>
  <sheetViews>
    <sheetView workbookViewId="0">
      <selection activeCell="A6" sqref="A6"/>
    </sheetView>
  </sheetViews>
  <sheetFormatPr defaultRowHeight="15.75" x14ac:dyDescent="0.25"/>
  <cols>
    <col min="1" max="1" width="33" customWidth="1"/>
    <col min="2" max="4" width="10.75" customWidth="1"/>
    <col min="5" max="5" width="12.5" customWidth="1"/>
    <col min="6" max="6" width="9.875" bestFit="1" customWidth="1"/>
  </cols>
  <sheetData>
    <row r="1" spans="1:6" ht="25.9" customHeight="1" thickBot="1" x14ac:dyDescent="0.3">
      <c r="A1" s="435" t="s">
        <v>56</v>
      </c>
      <c r="B1" s="436"/>
      <c r="C1" s="436"/>
      <c r="D1" s="444"/>
      <c r="E1" s="444"/>
      <c r="F1" s="445"/>
    </row>
    <row r="2" spans="1:6" x14ac:dyDescent="0.25">
      <c r="A2" s="427" t="s">
        <v>38</v>
      </c>
      <c r="B2" s="424" t="s">
        <v>46</v>
      </c>
      <c r="C2" s="425"/>
      <c r="D2" s="426"/>
      <c r="E2" s="442" t="s">
        <v>50</v>
      </c>
      <c r="F2" s="433" t="s">
        <v>58</v>
      </c>
    </row>
    <row r="3" spans="1:6" ht="16.5" thickBot="1" x14ac:dyDescent="0.3">
      <c r="A3" s="428"/>
      <c r="B3" s="74" t="s">
        <v>52</v>
      </c>
      <c r="C3" s="75" t="s">
        <v>47</v>
      </c>
      <c r="D3" s="76" t="s">
        <v>49</v>
      </c>
      <c r="E3" s="443"/>
      <c r="F3" s="434"/>
    </row>
    <row r="4" spans="1:6" x14ac:dyDescent="0.25">
      <c r="A4" s="35" t="s">
        <v>365</v>
      </c>
      <c r="B4" s="19"/>
      <c r="C4" s="13"/>
      <c r="D4" s="14">
        <f t="shared" ref="D4:D13" si="0">SUM(B4:C4)</f>
        <v>0</v>
      </c>
      <c r="E4" s="204"/>
      <c r="F4" s="217">
        <f t="shared" ref="F4:F13" si="1">D4*E4</f>
        <v>0</v>
      </c>
    </row>
    <row r="5" spans="1:6" x14ac:dyDescent="0.25">
      <c r="A5" s="21" t="s">
        <v>366</v>
      </c>
      <c r="B5" s="20"/>
      <c r="C5" s="15"/>
      <c r="D5" s="16">
        <f t="shared" si="0"/>
        <v>0</v>
      </c>
      <c r="E5" s="205"/>
      <c r="F5" s="218">
        <f t="shared" si="1"/>
        <v>0</v>
      </c>
    </row>
    <row r="6" spans="1:6" x14ac:dyDescent="0.25">
      <c r="A6" s="228" t="s">
        <v>23</v>
      </c>
      <c r="B6" s="20"/>
      <c r="C6" s="15"/>
      <c r="D6" s="16">
        <f t="shared" si="0"/>
        <v>0</v>
      </c>
      <c r="E6" s="205"/>
      <c r="F6" s="218">
        <f t="shared" si="1"/>
        <v>0</v>
      </c>
    </row>
    <row r="7" spans="1:6" x14ac:dyDescent="0.25">
      <c r="A7" s="21" t="s">
        <v>362</v>
      </c>
      <c r="B7" s="20"/>
      <c r="C7" s="15"/>
      <c r="D7" s="16">
        <f t="shared" si="0"/>
        <v>0</v>
      </c>
      <c r="E7" s="205"/>
      <c r="F7" s="218">
        <f t="shared" si="1"/>
        <v>0</v>
      </c>
    </row>
    <row r="8" spans="1:6" x14ac:dyDescent="0.25">
      <c r="A8" s="21"/>
      <c r="B8" s="20"/>
      <c r="C8" s="15"/>
      <c r="D8" s="16">
        <f t="shared" si="0"/>
        <v>0</v>
      </c>
      <c r="E8" s="205"/>
      <c r="F8" s="218">
        <f t="shared" si="1"/>
        <v>0</v>
      </c>
    </row>
    <row r="9" spans="1:6" x14ac:dyDescent="0.25">
      <c r="A9" s="21"/>
      <c r="B9" s="20"/>
      <c r="C9" s="15"/>
      <c r="D9" s="16">
        <f t="shared" si="0"/>
        <v>0</v>
      </c>
      <c r="E9" s="205"/>
      <c r="F9" s="218">
        <f t="shared" si="1"/>
        <v>0</v>
      </c>
    </row>
    <row r="10" spans="1:6" x14ac:dyDescent="0.25">
      <c r="A10" s="21"/>
      <c r="B10" s="20"/>
      <c r="C10" s="15"/>
      <c r="D10" s="16">
        <f t="shared" si="0"/>
        <v>0</v>
      </c>
      <c r="E10" s="205"/>
      <c r="F10" s="218">
        <f t="shared" si="1"/>
        <v>0</v>
      </c>
    </row>
    <row r="11" spans="1:6" x14ac:dyDescent="0.25">
      <c r="A11" s="21"/>
      <c r="B11" s="20"/>
      <c r="C11" s="15"/>
      <c r="D11" s="16">
        <f t="shared" si="0"/>
        <v>0</v>
      </c>
      <c r="E11" s="205"/>
      <c r="F11" s="218">
        <f t="shared" si="1"/>
        <v>0</v>
      </c>
    </row>
    <row r="12" spans="1:6" x14ac:dyDescent="0.25">
      <c r="A12" s="21"/>
      <c r="B12" s="20"/>
      <c r="C12" s="15"/>
      <c r="D12" s="16">
        <f t="shared" si="0"/>
        <v>0</v>
      </c>
      <c r="E12" s="205"/>
      <c r="F12" s="218">
        <f t="shared" si="1"/>
        <v>0</v>
      </c>
    </row>
    <row r="13" spans="1:6" ht="16.5" thickBot="1" x14ac:dyDescent="0.3">
      <c r="A13" s="21"/>
      <c r="B13" s="20"/>
      <c r="C13" s="15"/>
      <c r="D13" s="16">
        <f t="shared" si="0"/>
        <v>0</v>
      </c>
      <c r="E13" s="205"/>
      <c r="F13" s="218">
        <f t="shared" si="1"/>
        <v>0</v>
      </c>
    </row>
    <row r="14" spans="1:6" ht="16.5" thickBot="1" x14ac:dyDescent="0.3">
      <c r="A14" s="72" t="s">
        <v>370</v>
      </c>
      <c r="B14" s="127">
        <f>SUM(B4:B13)</f>
        <v>0</v>
      </c>
      <c r="C14" s="127">
        <f>SUM(C4:C13)</f>
        <v>0</v>
      </c>
      <c r="D14" s="127">
        <f>SUM(D4:D13)</f>
        <v>0</v>
      </c>
      <c r="E14" s="73"/>
      <c r="F14" s="70">
        <f>SUM(F4:F13)</f>
        <v>0</v>
      </c>
    </row>
  </sheetData>
  <mergeCells count="5">
    <mergeCell ref="A2:A3"/>
    <mergeCell ref="B2:D2"/>
    <mergeCell ref="E2:E3"/>
    <mergeCell ref="F2:F3"/>
    <mergeCell ref="A1:F1"/>
  </mergeCells>
  <printOptions horizontalCentered="1"/>
  <pageMargins left="0.5" right="0.5"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0D955-4AD1-4AE2-A060-AB6343614AD1}">
  <dimension ref="A1:F16"/>
  <sheetViews>
    <sheetView workbookViewId="0">
      <selection activeCell="F4" sqref="F4"/>
    </sheetView>
  </sheetViews>
  <sheetFormatPr defaultRowHeight="15.75" x14ac:dyDescent="0.25"/>
  <cols>
    <col min="1" max="1" width="33" customWidth="1"/>
    <col min="2" max="3" width="15.75" customWidth="1"/>
    <col min="4" max="4" width="8.5" customWidth="1"/>
    <col min="5" max="5" width="15.75" customWidth="1"/>
    <col min="6" max="6" width="24.75" customWidth="1"/>
  </cols>
  <sheetData>
    <row r="1" spans="1:6" ht="26.25" thickBot="1" x14ac:dyDescent="0.3">
      <c r="A1" s="435" t="s">
        <v>369</v>
      </c>
      <c r="B1" s="446"/>
      <c r="C1" s="446"/>
      <c r="D1" s="446"/>
      <c r="E1" s="446"/>
      <c r="F1" s="438"/>
    </row>
    <row r="2" spans="1:6" x14ac:dyDescent="0.25">
      <c r="A2" s="447" t="s">
        <v>93</v>
      </c>
      <c r="B2" s="401" t="s">
        <v>371</v>
      </c>
      <c r="C2" s="450" t="s">
        <v>395</v>
      </c>
      <c r="D2" s="450"/>
      <c r="E2" s="401" t="s">
        <v>94</v>
      </c>
      <c r="F2" s="451" t="s">
        <v>59</v>
      </c>
    </row>
    <row r="3" spans="1:6" ht="16.5" thickBot="1" x14ac:dyDescent="0.3">
      <c r="A3" s="448"/>
      <c r="B3" s="449"/>
      <c r="C3" s="183" t="s">
        <v>396</v>
      </c>
      <c r="D3" s="183" t="s">
        <v>61</v>
      </c>
      <c r="E3" s="449"/>
      <c r="F3" s="452"/>
    </row>
    <row r="4" spans="1:6" x14ac:dyDescent="0.25">
      <c r="A4" s="35"/>
      <c r="B4" s="198"/>
      <c r="C4" s="198"/>
      <c r="D4" s="184"/>
      <c r="E4" s="198"/>
      <c r="F4" s="59"/>
    </row>
    <row r="5" spans="1:6" x14ac:dyDescent="0.25">
      <c r="A5" s="21"/>
      <c r="B5" s="199"/>
      <c r="C5" s="199"/>
      <c r="D5" s="185"/>
      <c r="E5" s="199"/>
      <c r="F5" s="60"/>
    </row>
    <row r="6" spans="1:6" x14ac:dyDescent="0.25">
      <c r="A6" s="21"/>
      <c r="B6" s="199"/>
      <c r="C6" s="199"/>
      <c r="D6" s="185"/>
      <c r="E6" s="199"/>
      <c r="F6" s="60"/>
    </row>
    <row r="7" spans="1:6" x14ac:dyDescent="0.25">
      <c r="A7" s="21"/>
      <c r="B7" s="199"/>
      <c r="C7" s="199"/>
      <c r="D7" s="185"/>
      <c r="E7" s="199"/>
      <c r="F7" s="60"/>
    </row>
    <row r="8" spans="1:6" x14ac:dyDescent="0.25">
      <c r="A8" s="21"/>
      <c r="B8" s="199"/>
      <c r="C8" s="199"/>
      <c r="D8" s="185"/>
      <c r="E8" s="199"/>
      <c r="F8" s="60"/>
    </row>
    <row r="9" spans="1:6" x14ac:dyDescent="0.25">
      <c r="A9" s="21"/>
      <c r="B9" s="199"/>
      <c r="C9" s="199"/>
      <c r="D9" s="185"/>
      <c r="E9" s="199"/>
      <c r="F9" s="60"/>
    </row>
    <row r="10" spans="1:6" x14ac:dyDescent="0.25">
      <c r="A10" s="21"/>
      <c r="B10" s="199"/>
      <c r="C10" s="199"/>
      <c r="D10" s="185"/>
      <c r="E10" s="199"/>
      <c r="F10" s="60"/>
    </row>
    <row r="11" spans="1:6" x14ac:dyDescent="0.25">
      <c r="A11" s="21"/>
      <c r="B11" s="199"/>
      <c r="C11" s="199"/>
      <c r="D11" s="185"/>
      <c r="E11" s="199"/>
      <c r="F11" s="60"/>
    </row>
    <row r="12" spans="1:6" x14ac:dyDescent="0.25">
      <c r="A12" s="21"/>
      <c r="B12" s="199"/>
      <c r="C12" s="199"/>
      <c r="D12" s="185"/>
      <c r="E12" s="199"/>
      <c r="F12" s="60"/>
    </row>
    <row r="13" spans="1:6" ht="16.5" thickBot="1" x14ac:dyDescent="0.3">
      <c r="A13" s="33"/>
      <c r="B13" s="206"/>
      <c r="C13" s="207"/>
      <c r="D13" s="186"/>
      <c r="E13" s="207"/>
      <c r="F13" s="39"/>
    </row>
    <row r="14" spans="1:6" ht="16.5" thickBot="1" x14ac:dyDescent="0.3">
      <c r="A14" s="29" t="s">
        <v>370</v>
      </c>
      <c r="B14" s="208">
        <f>SUM(B4:B13)</f>
        <v>0</v>
      </c>
      <c r="C14" s="208">
        <f>SUM(C4:C13)</f>
        <v>0</v>
      </c>
      <c r="D14" s="187">
        <f>SUM(D4:D13)</f>
        <v>0</v>
      </c>
      <c r="E14" s="208">
        <f>SUM(E4:E13)</f>
        <v>0</v>
      </c>
      <c r="F14" s="30"/>
    </row>
    <row r="16" spans="1:6" x14ac:dyDescent="0.25">
      <c r="A16" s="71"/>
    </row>
  </sheetData>
  <mergeCells count="6">
    <mergeCell ref="A1:F1"/>
    <mergeCell ref="A2:A3"/>
    <mergeCell ref="B2:B3"/>
    <mergeCell ref="C2:D2"/>
    <mergeCell ref="E2:E3"/>
    <mergeCell ref="F2:F3"/>
  </mergeCells>
  <printOptions horizontalCentered="1"/>
  <pageMargins left="0.5" right="0.5"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1BA17-461F-4DEB-A680-FFF42EA7D4FC}">
  <dimension ref="A1:D27"/>
  <sheetViews>
    <sheetView workbookViewId="0">
      <selection activeCell="A3" sqref="A3"/>
    </sheetView>
  </sheetViews>
  <sheetFormatPr defaultRowHeight="15.75" x14ac:dyDescent="0.25"/>
  <cols>
    <col min="1" max="1" width="30.75" customWidth="1"/>
    <col min="2" max="4" width="20.75" customWidth="1"/>
  </cols>
  <sheetData>
    <row r="1" spans="1:4" ht="25.9" customHeight="1" thickBot="1" x14ac:dyDescent="0.3">
      <c r="A1" s="435" t="s">
        <v>60</v>
      </c>
      <c r="B1" s="436"/>
      <c r="C1" s="436"/>
      <c r="D1" s="437"/>
    </row>
    <row r="2" spans="1:4" ht="16.5" thickBot="1" x14ac:dyDescent="0.3">
      <c r="A2" s="41" t="s">
        <v>38</v>
      </c>
      <c r="B2" s="40" t="s">
        <v>61</v>
      </c>
      <c r="C2" s="23" t="s">
        <v>62</v>
      </c>
      <c r="D2" s="24" t="s">
        <v>58</v>
      </c>
    </row>
    <row r="3" spans="1:4" x14ac:dyDescent="0.25">
      <c r="A3" s="35" t="s">
        <v>14</v>
      </c>
      <c r="B3" s="25"/>
      <c r="C3" s="230">
        <f>RECAP!$I$14</f>
        <v>85</v>
      </c>
      <c r="D3" s="225">
        <f>B3*C3</f>
        <v>0</v>
      </c>
    </row>
    <row r="4" spans="1:4" x14ac:dyDescent="0.25">
      <c r="A4" s="229" t="s">
        <v>63</v>
      </c>
      <c r="B4" s="9"/>
      <c r="C4" s="231">
        <f>RECAP!$I$14</f>
        <v>85</v>
      </c>
      <c r="D4" s="226">
        <f t="shared" ref="D4:D12" si="0">B4*C4</f>
        <v>0</v>
      </c>
    </row>
    <row r="5" spans="1:4" x14ac:dyDescent="0.25">
      <c r="A5" s="229" t="s">
        <v>16</v>
      </c>
      <c r="B5" s="9"/>
      <c r="C5" s="232">
        <f>RECAP!$I$14</f>
        <v>85</v>
      </c>
      <c r="D5" s="226">
        <f t="shared" si="0"/>
        <v>0</v>
      </c>
    </row>
    <row r="6" spans="1:4" x14ac:dyDescent="0.25">
      <c r="A6" s="229" t="s">
        <v>64</v>
      </c>
      <c r="B6" s="9"/>
      <c r="C6" s="232">
        <f>RECAP!$I$14</f>
        <v>85</v>
      </c>
      <c r="D6" s="226">
        <f t="shared" si="0"/>
        <v>0</v>
      </c>
    </row>
    <row r="7" spans="1:4" x14ac:dyDescent="0.25">
      <c r="A7" s="21"/>
      <c r="B7" s="9"/>
      <c r="C7" s="232">
        <f>RECAP!$I$14</f>
        <v>85</v>
      </c>
      <c r="D7" s="226">
        <f t="shared" si="0"/>
        <v>0</v>
      </c>
    </row>
    <row r="8" spans="1:4" x14ac:dyDescent="0.25">
      <c r="A8" s="21"/>
      <c r="B8" s="9"/>
      <c r="C8" s="232">
        <f>RECAP!$I$14</f>
        <v>85</v>
      </c>
      <c r="D8" s="226">
        <f t="shared" si="0"/>
        <v>0</v>
      </c>
    </row>
    <row r="9" spans="1:4" x14ac:dyDescent="0.25">
      <c r="A9" s="21"/>
      <c r="B9" s="9"/>
      <c r="C9" s="232">
        <f>RECAP!$I$14</f>
        <v>85</v>
      </c>
      <c r="D9" s="226">
        <f t="shared" si="0"/>
        <v>0</v>
      </c>
    </row>
    <row r="10" spans="1:4" x14ac:dyDescent="0.25">
      <c r="A10" s="21"/>
      <c r="B10" s="9"/>
      <c r="C10" s="232">
        <f>RECAP!$I$14</f>
        <v>85</v>
      </c>
      <c r="D10" s="226">
        <f t="shared" si="0"/>
        <v>0</v>
      </c>
    </row>
    <row r="11" spans="1:4" x14ac:dyDescent="0.25">
      <c r="A11" s="21"/>
      <c r="B11" s="9"/>
      <c r="C11" s="232">
        <f>RECAP!$I$14</f>
        <v>85</v>
      </c>
      <c r="D11" s="226">
        <f t="shared" si="0"/>
        <v>0</v>
      </c>
    </row>
    <row r="12" spans="1:4" ht="16.5" thickBot="1" x14ac:dyDescent="0.3">
      <c r="A12" s="33"/>
      <c r="B12" s="28"/>
      <c r="C12" s="233">
        <f>RECAP!$I$14</f>
        <v>85</v>
      </c>
      <c r="D12" s="227">
        <f t="shared" si="0"/>
        <v>0</v>
      </c>
    </row>
    <row r="13" spans="1:4" ht="16.5" thickBot="1" x14ac:dyDescent="0.3">
      <c r="A13" s="29" t="s">
        <v>370</v>
      </c>
      <c r="B13" s="128">
        <f>SUM(B3:B12)</f>
        <v>0</v>
      </c>
      <c r="C13" s="65"/>
      <c r="D13" s="30">
        <f>SUM(D3:D12)</f>
        <v>0</v>
      </c>
    </row>
    <row r="14" spans="1:4" ht="16.5" thickBot="1" x14ac:dyDescent="0.3"/>
    <row r="15" spans="1:4" ht="27" thickBot="1" x14ac:dyDescent="0.3">
      <c r="A15" s="435" t="s">
        <v>96</v>
      </c>
      <c r="B15" s="436"/>
      <c r="C15" s="436"/>
      <c r="D15" s="437"/>
    </row>
    <row r="16" spans="1:4" ht="16.5" thickBot="1" x14ac:dyDescent="0.3">
      <c r="A16" s="41" t="s">
        <v>38</v>
      </c>
      <c r="B16" s="40" t="s">
        <v>61</v>
      </c>
      <c r="C16" s="23" t="s">
        <v>62</v>
      </c>
      <c r="D16" s="24" t="s">
        <v>58</v>
      </c>
    </row>
    <row r="17" spans="1:4" x14ac:dyDescent="0.25">
      <c r="A17" s="35" t="s">
        <v>15</v>
      </c>
      <c r="B17" s="25"/>
      <c r="C17" s="230">
        <f>RECAP!$I$16</f>
        <v>100</v>
      </c>
      <c r="D17" s="225">
        <f>B17*C17</f>
        <v>0</v>
      </c>
    </row>
    <row r="18" spans="1:4" x14ac:dyDescent="0.25">
      <c r="A18" s="229" t="s">
        <v>63</v>
      </c>
      <c r="B18" s="9"/>
      <c r="C18" s="232">
        <f>RECAP!$I$14</f>
        <v>85</v>
      </c>
      <c r="D18" s="226">
        <f t="shared" ref="D18:D26" si="1">B18*C18</f>
        <v>0</v>
      </c>
    </row>
    <row r="19" spans="1:4" x14ac:dyDescent="0.25">
      <c r="A19" s="229" t="s">
        <v>16</v>
      </c>
      <c r="B19" s="9"/>
      <c r="C19" s="232">
        <f>RECAP!$I$14</f>
        <v>85</v>
      </c>
      <c r="D19" s="226">
        <f t="shared" si="1"/>
        <v>0</v>
      </c>
    </row>
    <row r="20" spans="1:4" x14ac:dyDescent="0.25">
      <c r="A20" s="229" t="s">
        <v>64</v>
      </c>
      <c r="B20" s="9"/>
      <c r="C20" s="232">
        <f>RECAP!$I$14</f>
        <v>85</v>
      </c>
      <c r="D20" s="226">
        <f t="shared" si="1"/>
        <v>0</v>
      </c>
    </row>
    <row r="21" spans="1:4" x14ac:dyDescent="0.25">
      <c r="A21" s="21"/>
      <c r="B21" s="9"/>
      <c r="C21" s="231">
        <f>RECAP!$I$16</f>
        <v>100</v>
      </c>
      <c r="D21" s="226">
        <f t="shared" si="1"/>
        <v>0</v>
      </c>
    </row>
    <row r="22" spans="1:4" x14ac:dyDescent="0.25">
      <c r="A22" s="21"/>
      <c r="B22" s="9"/>
      <c r="C22" s="231">
        <f>RECAP!$I$16</f>
        <v>100</v>
      </c>
      <c r="D22" s="226">
        <f t="shared" si="1"/>
        <v>0</v>
      </c>
    </row>
    <row r="23" spans="1:4" x14ac:dyDescent="0.25">
      <c r="A23" s="21"/>
      <c r="B23" s="9"/>
      <c r="C23" s="231">
        <f>RECAP!$I$16</f>
        <v>100</v>
      </c>
      <c r="D23" s="226">
        <f t="shared" si="1"/>
        <v>0</v>
      </c>
    </row>
    <row r="24" spans="1:4" x14ac:dyDescent="0.25">
      <c r="A24" s="21"/>
      <c r="B24" s="9"/>
      <c r="C24" s="231">
        <f>RECAP!$I$16</f>
        <v>100</v>
      </c>
      <c r="D24" s="226">
        <f t="shared" si="1"/>
        <v>0</v>
      </c>
    </row>
    <row r="25" spans="1:4" x14ac:dyDescent="0.25">
      <c r="A25" s="21"/>
      <c r="B25" s="9"/>
      <c r="C25" s="231">
        <f>RECAP!$I$16</f>
        <v>100</v>
      </c>
      <c r="D25" s="226">
        <f t="shared" si="1"/>
        <v>0</v>
      </c>
    </row>
    <row r="26" spans="1:4" ht="16.5" thickBot="1" x14ac:dyDescent="0.3">
      <c r="A26" s="33"/>
      <c r="B26" s="28"/>
      <c r="C26" s="233">
        <f>RECAP!$I$16</f>
        <v>100</v>
      </c>
      <c r="D26" s="227">
        <f t="shared" si="1"/>
        <v>0</v>
      </c>
    </row>
    <row r="27" spans="1:4" ht="16.5" thickBot="1" x14ac:dyDescent="0.3">
      <c r="A27" s="29" t="s">
        <v>370</v>
      </c>
      <c r="B27" s="128">
        <f>SUM(B17:B26)</f>
        <v>0</v>
      </c>
      <c r="C27" s="65"/>
      <c r="D27" s="30">
        <f>SUM(D17:D26)</f>
        <v>0</v>
      </c>
    </row>
  </sheetData>
  <mergeCells count="2">
    <mergeCell ref="A1:D1"/>
    <mergeCell ref="A15:D15"/>
  </mergeCells>
  <printOptions horizontalCentered="1"/>
  <pageMargins left="0.5" right="0.5"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CFDDF-21FC-4184-BB1A-65CFB9F53553}">
  <dimension ref="A1:C10"/>
  <sheetViews>
    <sheetView workbookViewId="0">
      <selection activeCell="B10" sqref="B10"/>
    </sheetView>
  </sheetViews>
  <sheetFormatPr defaultRowHeight="15.75" x14ac:dyDescent="0.25"/>
  <cols>
    <col min="1" max="1" width="28.125" customWidth="1"/>
    <col min="2" max="2" width="16.75" customWidth="1"/>
    <col min="3" max="3" width="34" customWidth="1"/>
  </cols>
  <sheetData>
    <row r="1" spans="1:3" x14ac:dyDescent="0.25">
      <c r="A1" s="453" t="s">
        <v>57</v>
      </c>
      <c r="B1" s="454"/>
      <c r="C1" s="455"/>
    </row>
    <row r="2" spans="1:3" ht="16.5" thickBot="1" x14ac:dyDescent="0.3">
      <c r="A2" s="456"/>
      <c r="B2" s="457"/>
      <c r="C2" s="458"/>
    </row>
    <row r="3" spans="1:3" ht="16.5" thickBot="1" x14ac:dyDescent="0.3">
      <c r="A3" s="36" t="s">
        <v>38</v>
      </c>
      <c r="B3" s="24" t="s">
        <v>58</v>
      </c>
      <c r="C3" s="34" t="s">
        <v>59</v>
      </c>
    </row>
    <row r="4" spans="1:3" x14ac:dyDescent="0.25">
      <c r="A4" s="35"/>
      <c r="B4" s="31"/>
      <c r="C4" s="37"/>
    </row>
    <row r="5" spans="1:3" x14ac:dyDescent="0.25">
      <c r="A5" s="21"/>
      <c r="B5" s="10"/>
      <c r="C5" s="38"/>
    </row>
    <row r="6" spans="1:3" x14ac:dyDescent="0.25">
      <c r="A6" s="21"/>
      <c r="B6" s="10"/>
      <c r="C6" s="38"/>
    </row>
    <row r="7" spans="1:3" x14ac:dyDescent="0.25">
      <c r="A7" s="21"/>
      <c r="B7" s="10"/>
      <c r="C7" s="38"/>
    </row>
    <row r="8" spans="1:3" x14ac:dyDescent="0.25">
      <c r="A8" s="21"/>
      <c r="B8" s="10"/>
      <c r="C8" s="38"/>
    </row>
    <row r="9" spans="1:3" ht="16.5" thickBot="1" x14ac:dyDescent="0.3">
      <c r="A9" s="21"/>
      <c r="B9" s="10"/>
      <c r="C9" s="38"/>
    </row>
    <row r="10" spans="1:3" ht="16.5" thickBot="1" x14ac:dyDescent="0.3">
      <c r="A10" s="29" t="s">
        <v>370</v>
      </c>
      <c r="B10" s="30">
        <f>SUM(B4:B9)</f>
        <v>0</v>
      </c>
      <c r="C10" s="30"/>
    </row>
  </sheetData>
  <mergeCells count="1">
    <mergeCell ref="A1:C2"/>
  </mergeCells>
  <printOptions horizontalCentered="1"/>
  <pageMargins left="0.5" right="0.5"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A510E-2F7B-4403-B92A-3635174804AE}">
  <sheetPr>
    <tabColor rgb="FF7030A0"/>
  </sheetPr>
  <dimension ref="A1:L45"/>
  <sheetViews>
    <sheetView workbookViewId="0">
      <selection activeCell="E17" sqref="E17"/>
    </sheetView>
  </sheetViews>
  <sheetFormatPr defaultRowHeight="15.75" x14ac:dyDescent="0.25"/>
  <cols>
    <col min="1" max="1" width="28.25" customWidth="1"/>
    <col min="2" max="2" width="11.125" customWidth="1"/>
    <col min="3" max="3" width="13.25" bestFit="1" customWidth="1"/>
    <col min="4" max="4" width="12.125" customWidth="1"/>
    <col min="5" max="5" width="10.875" customWidth="1"/>
    <col min="9" max="9" width="9.75" customWidth="1"/>
    <col min="11" max="11" width="16.75" bestFit="1" customWidth="1"/>
  </cols>
  <sheetData>
    <row r="1" spans="1:12" s="42" customFormat="1" ht="33.75" thickTop="1" x14ac:dyDescent="0.25">
      <c r="A1" s="505" t="s">
        <v>379</v>
      </c>
      <c r="B1" s="506"/>
      <c r="C1" s="506"/>
      <c r="D1" s="506"/>
      <c r="E1" s="506"/>
      <c r="F1" s="506"/>
      <c r="G1" s="506"/>
      <c r="H1" s="506"/>
      <c r="I1" s="507"/>
      <c r="L1" s="43"/>
    </row>
    <row r="2" spans="1:12" s="42" customFormat="1" ht="30.75" customHeight="1" x14ac:dyDescent="0.3">
      <c r="A2" s="161" t="s">
        <v>377</v>
      </c>
      <c r="B2" s="44" t="s">
        <v>65</v>
      </c>
      <c r="C2" s="57" t="s">
        <v>66</v>
      </c>
      <c r="D2" s="44" t="s">
        <v>37</v>
      </c>
      <c r="E2" s="508" t="s">
        <v>59</v>
      </c>
      <c r="F2" s="509"/>
      <c r="G2" s="509"/>
      <c r="H2" s="509"/>
      <c r="I2" s="510"/>
      <c r="L2" s="45"/>
    </row>
    <row r="3" spans="1:12" s="42" customFormat="1" ht="45.75" customHeight="1" x14ac:dyDescent="0.25">
      <c r="A3" s="157" t="s">
        <v>67</v>
      </c>
      <c r="B3" s="256"/>
      <c r="C3" s="253">
        <v>3000</v>
      </c>
      <c r="D3" s="234">
        <f>IF(B3="Y",C3,0)</f>
        <v>0</v>
      </c>
      <c r="E3" s="499" t="s">
        <v>382</v>
      </c>
      <c r="F3" s="500"/>
      <c r="G3" s="500"/>
      <c r="H3" s="500"/>
      <c r="I3" s="501"/>
      <c r="L3" s="43"/>
    </row>
    <row r="4" spans="1:12" s="42" customFormat="1" x14ac:dyDescent="0.25">
      <c r="A4" s="158" t="s">
        <v>380</v>
      </c>
      <c r="B4" s="254"/>
      <c r="C4" s="255"/>
      <c r="D4" s="234">
        <f t="shared" ref="D4:D7" si="0">IF(B4="Y",C4,0)</f>
        <v>0</v>
      </c>
      <c r="E4" s="499" t="s">
        <v>376</v>
      </c>
      <c r="F4" s="466"/>
      <c r="G4" s="466"/>
      <c r="H4" s="466"/>
      <c r="I4" s="467"/>
      <c r="L4" s="43"/>
    </row>
    <row r="5" spans="1:12" s="42" customFormat="1" x14ac:dyDescent="0.25">
      <c r="A5" s="158" t="s">
        <v>381</v>
      </c>
      <c r="B5" s="254"/>
      <c r="C5" s="255"/>
      <c r="D5" s="234">
        <f t="shared" si="0"/>
        <v>0</v>
      </c>
      <c r="E5" s="499" t="s">
        <v>376</v>
      </c>
      <c r="F5" s="466"/>
      <c r="G5" s="466"/>
      <c r="H5" s="466"/>
      <c r="I5" s="467"/>
      <c r="L5" s="43"/>
    </row>
    <row r="6" spans="1:12" s="42" customFormat="1" x14ac:dyDescent="0.25">
      <c r="A6" s="158" t="s">
        <v>375</v>
      </c>
      <c r="B6" s="254"/>
      <c r="C6" s="255"/>
      <c r="D6" s="234">
        <f t="shared" ref="D6" si="1">IF(B6="Y",C6,0)</f>
        <v>0</v>
      </c>
      <c r="E6" s="499" t="s">
        <v>376</v>
      </c>
      <c r="F6" s="466"/>
      <c r="G6" s="466"/>
      <c r="H6" s="466"/>
      <c r="I6" s="467"/>
      <c r="L6" s="43"/>
    </row>
    <row r="7" spans="1:12" s="42" customFormat="1" x14ac:dyDescent="0.25">
      <c r="A7" s="158"/>
      <c r="B7" s="254"/>
      <c r="C7" s="255"/>
      <c r="D7" s="234">
        <f t="shared" si="0"/>
        <v>0</v>
      </c>
      <c r="E7" s="499"/>
      <c r="F7" s="466"/>
      <c r="G7" s="466"/>
      <c r="H7" s="466"/>
      <c r="I7" s="467"/>
      <c r="L7" s="43"/>
    </row>
    <row r="8" spans="1:12" s="42" customFormat="1" ht="20.25" customHeight="1" x14ac:dyDescent="0.25">
      <c r="A8" s="511" t="s">
        <v>49</v>
      </c>
      <c r="B8" s="512"/>
      <c r="C8" s="513"/>
      <c r="D8" s="47">
        <f>SUM(D3:D7)</f>
        <v>0</v>
      </c>
      <c r="E8" s="502"/>
      <c r="F8" s="503"/>
      <c r="G8" s="503"/>
      <c r="H8" s="503"/>
      <c r="I8" s="504"/>
      <c r="L8" s="43"/>
    </row>
    <row r="9" spans="1:12" s="42" customFormat="1" ht="10.9" customHeight="1" x14ac:dyDescent="0.25">
      <c r="A9" s="475"/>
      <c r="B9" s="476"/>
      <c r="C9" s="476"/>
      <c r="D9" s="476"/>
      <c r="E9" s="476"/>
      <c r="F9" s="476"/>
      <c r="G9" s="476"/>
      <c r="H9" s="476"/>
      <c r="I9" s="477"/>
      <c r="L9" s="43"/>
    </row>
    <row r="10" spans="1:12" s="42" customFormat="1" ht="31.9" customHeight="1" x14ac:dyDescent="0.25">
      <c r="A10" s="470" t="s">
        <v>385</v>
      </c>
      <c r="B10" s="44" t="s">
        <v>65</v>
      </c>
      <c r="C10" s="468" t="s">
        <v>69</v>
      </c>
      <c r="D10" s="159" t="s">
        <v>378</v>
      </c>
      <c r="E10" s="472" t="s">
        <v>37</v>
      </c>
      <c r="F10" s="462" t="s">
        <v>59</v>
      </c>
      <c r="G10" s="463"/>
      <c r="H10" s="463"/>
      <c r="I10" s="464"/>
      <c r="L10" s="43"/>
    </row>
    <row r="11" spans="1:12" s="42" customFormat="1" ht="37.9" customHeight="1" thickBot="1" x14ac:dyDescent="0.3">
      <c r="A11" s="471"/>
      <c r="B11" s="46"/>
      <c r="C11" s="469"/>
      <c r="D11" s="252">
        <f>IF(B11="Y",(RECAP!G50+RECAP!G52+'Addtn''l (AKP)'!E36),0)</f>
        <v>0</v>
      </c>
      <c r="E11" s="473"/>
      <c r="F11" s="465" t="s">
        <v>421</v>
      </c>
      <c r="G11" s="466"/>
      <c r="H11" s="466"/>
      <c r="I11" s="467"/>
      <c r="K11" s="49"/>
      <c r="L11" s="43"/>
    </row>
    <row r="12" spans="1:12" s="42" customFormat="1" ht="20.25" customHeight="1" x14ac:dyDescent="0.25">
      <c r="A12" s="53" t="s">
        <v>70</v>
      </c>
      <c r="B12" s="241"/>
      <c r="C12" s="249">
        <v>8.0999999999999996E-3</v>
      </c>
      <c r="D12" s="235">
        <f>MIN($D$11,500000)</f>
        <v>0</v>
      </c>
      <c r="E12" s="236">
        <f>IFERROR((D12*C12),"")</f>
        <v>0</v>
      </c>
      <c r="F12" s="459"/>
      <c r="G12" s="460"/>
      <c r="H12" s="460"/>
      <c r="I12" s="461"/>
      <c r="K12" s="49"/>
      <c r="L12" s="43"/>
    </row>
    <row r="13" spans="1:12" s="42" customFormat="1" ht="20.25" customHeight="1" x14ac:dyDescent="0.25">
      <c r="A13" s="53" t="s">
        <v>71</v>
      </c>
      <c r="B13" s="241"/>
      <c r="C13" s="249">
        <v>5.6699999999999997E-3</v>
      </c>
      <c r="D13" s="237">
        <f>MAX(MIN($D$11-D12,2000000),0)</f>
        <v>0</v>
      </c>
      <c r="E13" s="236">
        <f>IFERROR((D13*C13),"")</f>
        <v>0</v>
      </c>
      <c r="F13" s="474"/>
      <c r="G13" s="460"/>
      <c r="H13" s="460"/>
      <c r="I13" s="461"/>
      <c r="K13" s="49"/>
      <c r="L13" s="43"/>
    </row>
    <row r="14" spans="1:12" s="42" customFormat="1" ht="20.25" customHeight="1" x14ac:dyDescent="0.25">
      <c r="A14" s="53" t="s">
        <v>72</v>
      </c>
      <c r="B14" s="241"/>
      <c r="C14" s="249">
        <v>4.8599999999999997E-3</v>
      </c>
      <c r="D14" s="237">
        <f>MAX(MIN($D$11-SUM($D$12:D13),2500000),0)</f>
        <v>0</v>
      </c>
      <c r="E14" s="236">
        <f>IFERROR((D14*C14),"")</f>
        <v>0</v>
      </c>
      <c r="F14" s="459"/>
      <c r="G14" s="460"/>
      <c r="H14" s="460"/>
      <c r="I14" s="461"/>
      <c r="K14" s="49"/>
      <c r="L14" s="43"/>
    </row>
    <row r="15" spans="1:12" s="42" customFormat="1" ht="20.25" customHeight="1" x14ac:dyDescent="0.25">
      <c r="A15" s="53" t="s">
        <v>73</v>
      </c>
      <c r="B15" s="241"/>
      <c r="C15" s="249">
        <v>4.3200000000000001E-3</v>
      </c>
      <c r="D15" s="237">
        <f>MAX($D$11-SUM($D$12:D14),0)</f>
        <v>0</v>
      </c>
      <c r="E15" s="236">
        <f>IFERROR((D15*C15),"")</f>
        <v>0</v>
      </c>
      <c r="F15" s="459"/>
      <c r="G15" s="460"/>
      <c r="H15" s="460"/>
      <c r="I15" s="461"/>
      <c r="K15" s="49"/>
      <c r="L15" s="43"/>
    </row>
    <row r="16" spans="1:12" s="42" customFormat="1" ht="20.25" hidden="1" customHeight="1" x14ac:dyDescent="0.25">
      <c r="A16" s="53" t="s">
        <v>74</v>
      </c>
      <c r="B16" s="46"/>
      <c r="C16" s="58"/>
      <c r="D16" s="50"/>
      <c r="E16" s="50" t="str">
        <f>IFERROR((D16*#REF!),"")</f>
        <v/>
      </c>
      <c r="F16" s="459"/>
      <c r="G16" s="460"/>
      <c r="H16" s="460"/>
      <c r="I16" s="461"/>
      <c r="L16" s="43"/>
    </row>
    <row r="17" spans="1:12" s="42" customFormat="1" ht="20.25" customHeight="1" x14ac:dyDescent="0.25">
      <c r="A17" s="484" t="s">
        <v>49</v>
      </c>
      <c r="B17" s="381"/>
      <c r="C17" s="381"/>
      <c r="D17" s="382"/>
      <c r="E17" s="263">
        <f>SUM(E12:E16)</f>
        <v>0</v>
      </c>
      <c r="F17" s="514"/>
      <c r="G17" s="515"/>
      <c r="H17" s="515"/>
      <c r="I17" s="516"/>
      <c r="L17" s="43"/>
    </row>
    <row r="18" spans="1:12" s="42" customFormat="1" ht="10.9" customHeight="1" x14ac:dyDescent="0.25">
      <c r="A18" s="517"/>
      <c r="B18" s="518"/>
      <c r="C18" s="518"/>
      <c r="D18" s="518"/>
      <c r="E18" s="518"/>
      <c r="F18" s="518"/>
      <c r="G18" s="518"/>
      <c r="H18" s="518"/>
      <c r="I18" s="519"/>
      <c r="L18" s="43"/>
    </row>
    <row r="19" spans="1:12" s="42" customFormat="1" ht="18.75" x14ac:dyDescent="0.3">
      <c r="A19" s="162" t="s">
        <v>373</v>
      </c>
      <c r="B19" s="44" t="s">
        <v>65</v>
      </c>
      <c r="C19" s="154" t="s">
        <v>75</v>
      </c>
      <c r="D19" s="155" t="s">
        <v>76</v>
      </c>
      <c r="E19" s="156" t="s">
        <v>49</v>
      </c>
      <c r="F19" s="508" t="s">
        <v>59</v>
      </c>
      <c r="G19" s="509"/>
      <c r="H19" s="509"/>
      <c r="I19" s="510"/>
      <c r="L19" s="43"/>
    </row>
    <row r="20" spans="1:12" s="42" customFormat="1" x14ac:dyDescent="0.25">
      <c r="A20" s="54" t="s">
        <v>77</v>
      </c>
      <c r="B20" s="46"/>
      <c r="C20" s="238">
        <f>IF($B$20="Y",((SUM(RECAP!$G$50+RECAP!$G$51)*0.2%)),0)</f>
        <v>0</v>
      </c>
      <c r="D20" s="239">
        <f>C20*6.75%</f>
        <v>0</v>
      </c>
      <c r="E20" s="240">
        <f>IF(B20="Y",MIN(C20+D20,"$4,270.00"),0)</f>
        <v>0</v>
      </c>
      <c r="F20" s="459"/>
      <c r="G20" s="482"/>
      <c r="H20" s="482"/>
      <c r="I20" s="483"/>
      <c r="L20" s="43"/>
    </row>
    <row r="21" spans="1:12" s="42" customFormat="1" x14ac:dyDescent="0.25">
      <c r="A21" s="55" t="s">
        <v>78</v>
      </c>
      <c r="B21" s="46"/>
      <c r="C21" s="238">
        <f>IF($B$21="Y",((SUM(RECAP!$G$50+RECAP!$G$51)*0.2%)),0)</f>
        <v>0</v>
      </c>
      <c r="D21" s="239">
        <f>C21*6.75%</f>
        <v>0</v>
      </c>
      <c r="E21" s="240">
        <f>IF(B21="Y",MIN(C21+D21,"$5,337.50"),0)</f>
        <v>0</v>
      </c>
      <c r="F21" s="459"/>
      <c r="G21" s="482"/>
      <c r="H21" s="482"/>
      <c r="I21" s="483"/>
      <c r="L21" s="43"/>
    </row>
    <row r="22" spans="1:12" s="42" customFormat="1" x14ac:dyDescent="0.25">
      <c r="A22" s="484" t="s">
        <v>49</v>
      </c>
      <c r="B22" s="381"/>
      <c r="C22" s="381"/>
      <c r="D22" s="381"/>
      <c r="E22" s="179">
        <f>E20+E21</f>
        <v>0</v>
      </c>
      <c r="F22" s="459"/>
      <c r="G22" s="482"/>
      <c r="H22" s="482"/>
      <c r="I22" s="483"/>
      <c r="L22" s="43"/>
    </row>
    <row r="23" spans="1:12" s="42" customFormat="1" ht="10.9" customHeight="1" x14ac:dyDescent="0.25">
      <c r="A23" s="525"/>
      <c r="B23" s="526"/>
      <c r="C23" s="526"/>
      <c r="D23" s="526"/>
      <c r="E23" s="526"/>
      <c r="F23" s="526"/>
      <c r="G23" s="526"/>
      <c r="H23" s="526"/>
      <c r="I23" s="527"/>
      <c r="L23" s="43"/>
    </row>
    <row r="24" spans="1:12" s="42" customFormat="1" ht="37.5" x14ac:dyDescent="0.3">
      <c r="A24" s="161" t="s">
        <v>383</v>
      </c>
      <c r="B24" s="46" t="s">
        <v>372</v>
      </c>
      <c r="C24" s="171" t="s">
        <v>61</v>
      </c>
      <c r="D24" s="180" t="s">
        <v>66</v>
      </c>
      <c r="E24" s="48" t="s">
        <v>37</v>
      </c>
      <c r="F24" s="508" t="s">
        <v>59</v>
      </c>
      <c r="G24" s="528"/>
      <c r="H24" s="528"/>
      <c r="I24" s="529"/>
      <c r="K24" s="49"/>
      <c r="L24" s="43"/>
    </row>
    <row r="25" spans="1:12" s="42" customFormat="1" ht="20.25" customHeight="1" x14ac:dyDescent="0.25">
      <c r="A25" s="53" t="s">
        <v>79</v>
      </c>
      <c r="B25" s="241"/>
      <c r="C25" s="241">
        <v>30</v>
      </c>
      <c r="D25" s="242">
        <v>50</v>
      </c>
      <c r="E25" s="243">
        <f>IF($B$24="Certified", C25*D25, 0)</f>
        <v>0</v>
      </c>
      <c r="F25" s="459"/>
      <c r="G25" s="460"/>
      <c r="H25" s="460"/>
      <c r="I25" s="461"/>
      <c r="K25" s="49"/>
      <c r="L25" s="43"/>
    </row>
    <row r="26" spans="1:12" s="42" customFormat="1" ht="20.25" customHeight="1" x14ac:dyDescent="0.25">
      <c r="A26" s="53" t="s">
        <v>80</v>
      </c>
      <c r="B26" s="241"/>
      <c r="C26" s="241">
        <v>50</v>
      </c>
      <c r="D26" s="244">
        <v>50</v>
      </c>
      <c r="E26" s="243">
        <f>IF($B$24="Silver", C26*D26, 0)</f>
        <v>0</v>
      </c>
      <c r="F26" s="474"/>
      <c r="G26" s="460"/>
      <c r="H26" s="460"/>
      <c r="I26" s="461"/>
      <c r="K26" s="49"/>
      <c r="L26" s="43"/>
    </row>
    <row r="27" spans="1:12" s="42" customFormat="1" ht="20.25" customHeight="1" x14ac:dyDescent="0.25">
      <c r="A27" s="53" t="s">
        <v>81</v>
      </c>
      <c r="B27" s="241"/>
      <c r="C27" s="241">
        <v>80</v>
      </c>
      <c r="D27" s="244">
        <v>50</v>
      </c>
      <c r="E27" s="243">
        <f>IF($B$24="Gold", C27*D27, 0)</f>
        <v>0</v>
      </c>
      <c r="F27" s="459"/>
      <c r="G27" s="460"/>
      <c r="H27" s="460"/>
      <c r="I27" s="461"/>
      <c r="K27" s="49"/>
      <c r="L27" s="43"/>
    </row>
    <row r="28" spans="1:12" s="42" customFormat="1" ht="20.25" customHeight="1" x14ac:dyDescent="0.25">
      <c r="A28" s="53" t="s">
        <v>82</v>
      </c>
      <c r="B28" s="241"/>
      <c r="C28" s="241">
        <v>120</v>
      </c>
      <c r="D28" s="244">
        <v>50</v>
      </c>
      <c r="E28" s="243">
        <f>IF($B$24="Platinum", C28*D28, 0)</f>
        <v>0</v>
      </c>
      <c r="F28" s="459"/>
      <c r="G28" s="460"/>
      <c r="H28" s="460"/>
      <c r="I28" s="461"/>
      <c r="K28" s="49"/>
      <c r="L28" s="43"/>
    </row>
    <row r="29" spans="1:12" s="42" customFormat="1" ht="20.25" customHeight="1" x14ac:dyDescent="0.25">
      <c r="A29" s="53" t="s">
        <v>83</v>
      </c>
      <c r="B29" s="241"/>
      <c r="C29" s="241">
        <v>140</v>
      </c>
      <c r="D29" s="244">
        <v>50</v>
      </c>
      <c r="E29" s="243">
        <f>IF($B$24="Government", C29*D29, 0)</f>
        <v>0</v>
      </c>
      <c r="F29" s="459"/>
      <c r="G29" s="460"/>
      <c r="H29" s="460"/>
      <c r="I29" s="461"/>
      <c r="K29" s="49"/>
      <c r="L29" s="43"/>
    </row>
    <row r="30" spans="1:12" s="42" customFormat="1" ht="20.25" hidden="1" customHeight="1" x14ac:dyDescent="0.25">
      <c r="A30" s="53" t="s">
        <v>74</v>
      </c>
      <c r="B30" s="46"/>
      <c r="C30" s="46"/>
      <c r="D30" s="58"/>
      <c r="E30" s="50"/>
      <c r="F30" s="459"/>
      <c r="G30" s="460"/>
      <c r="H30" s="460"/>
      <c r="I30" s="461"/>
      <c r="L30" s="43"/>
    </row>
    <row r="31" spans="1:12" s="42" customFormat="1" ht="20.25" customHeight="1" x14ac:dyDescent="0.25">
      <c r="A31" s="484" t="s">
        <v>49</v>
      </c>
      <c r="B31" s="381"/>
      <c r="C31" s="381"/>
      <c r="D31" s="382"/>
      <c r="E31" s="264">
        <f>SUM(E25:E30)</f>
        <v>0</v>
      </c>
      <c r="F31" s="459"/>
      <c r="G31" s="482"/>
      <c r="H31" s="482"/>
      <c r="I31" s="483"/>
      <c r="L31" s="43"/>
    </row>
    <row r="32" spans="1:12" s="42" customFormat="1" ht="10.9" customHeight="1" x14ac:dyDescent="0.25">
      <c r="A32" s="517"/>
      <c r="B32" s="518"/>
      <c r="C32" s="518"/>
      <c r="D32" s="526"/>
      <c r="E32" s="518"/>
      <c r="F32" s="518"/>
      <c r="G32" s="518"/>
      <c r="H32" s="518"/>
      <c r="I32" s="519"/>
      <c r="L32" s="43"/>
    </row>
    <row r="33" spans="1:12" s="42" customFormat="1" ht="20.25" customHeight="1" x14ac:dyDescent="0.3">
      <c r="A33" s="520" t="s">
        <v>76</v>
      </c>
      <c r="B33" s="521"/>
      <c r="C33" s="521"/>
      <c r="D33" s="44" t="s">
        <v>386</v>
      </c>
      <c r="E33" s="163" t="s">
        <v>374</v>
      </c>
      <c r="F33" s="522" t="s">
        <v>59</v>
      </c>
      <c r="G33" s="523"/>
      <c r="H33" s="523"/>
      <c r="I33" s="524"/>
      <c r="L33" s="43"/>
    </row>
    <row r="34" spans="1:12" s="42" customFormat="1" ht="51" customHeight="1" x14ac:dyDescent="0.25">
      <c r="A34" s="158" t="s">
        <v>384</v>
      </c>
      <c r="B34" s="250" t="s">
        <v>85</v>
      </c>
      <c r="C34" s="245">
        <f>VLOOKUP($B$34, $C$39:$D$45, 2, FALSE)</f>
        <v>0</v>
      </c>
      <c r="D34" s="246">
        <f>RECAP!G50-RECAP!G43-Outsourced!E14-(Outsourced!E14*RECAP!E44)</f>
        <v>0</v>
      </c>
      <c r="E34" s="247">
        <f>IFERROR((D34*C34),"")</f>
        <v>0</v>
      </c>
      <c r="F34" s="487" t="s">
        <v>420</v>
      </c>
      <c r="G34" s="488"/>
      <c r="H34" s="488"/>
      <c r="I34" s="489"/>
      <c r="L34" s="43"/>
    </row>
    <row r="35" spans="1:12" s="42" customFormat="1" ht="20.25" customHeight="1" x14ac:dyDescent="0.25">
      <c r="A35" s="160" t="s">
        <v>387</v>
      </c>
      <c r="B35" s="251"/>
      <c r="C35" s="164"/>
      <c r="D35" s="248">
        <f>RECAP!D34</f>
        <v>0</v>
      </c>
      <c r="E35" s="247">
        <f>IFERROR((D35*C35),"")</f>
        <v>0</v>
      </c>
      <c r="F35" s="490" t="s">
        <v>393</v>
      </c>
      <c r="G35" s="491"/>
      <c r="H35" s="491"/>
      <c r="I35" s="492"/>
      <c r="L35" s="43"/>
    </row>
    <row r="36" spans="1:12" s="42" customFormat="1" ht="20.25" customHeight="1" thickBot="1" x14ac:dyDescent="0.3">
      <c r="A36" s="493" t="s">
        <v>49</v>
      </c>
      <c r="B36" s="494"/>
      <c r="C36" s="494"/>
      <c r="D36" s="495"/>
      <c r="E36" s="265">
        <f>SUM(E34:E35)</f>
        <v>0</v>
      </c>
      <c r="F36" s="496"/>
      <c r="G36" s="497"/>
      <c r="H36" s="497"/>
      <c r="I36" s="498"/>
      <c r="L36" s="43"/>
    </row>
    <row r="37" spans="1:12" s="42" customFormat="1" ht="9.6" customHeight="1" thickTop="1" x14ac:dyDescent="0.25">
      <c r="F37" s="165"/>
      <c r="L37" s="43"/>
    </row>
    <row r="38" spans="1:12" s="42" customFormat="1" ht="31.5" x14ac:dyDescent="0.25">
      <c r="A38" s="56" t="s">
        <v>388</v>
      </c>
      <c r="B38" s="485" t="s">
        <v>84</v>
      </c>
      <c r="C38" s="486"/>
      <c r="D38" s="51" t="s">
        <v>86</v>
      </c>
      <c r="E38" s="170" t="s">
        <v>391</v>
      </c>
      <c r="F38" s="478" t="s">
        <v>390</v>
      </c>
      <c r="G38" s="479"/>
      <c r="H38" s="480"/>
      <c r="I38" s="480"/>
      <c r="J38" s="43"/>
    </row>
    <row r="39" spans="1:12" s="42" customFormat="1" ht="19.899999999999999" customHeight="1" x14ac:dyDescent="0.25">
      <c r="B39" s="150"/>
      <c r="C39" s="149" t="s">
        <v>85</v>
      </c>
      <c r="D39" s="52">
        <v>0</v>
      </c>
      <c r="E39" s="167"/>
      <c r="F39" s="481"/>
      <c r="G39" s="479"/>
      <c r="H39" s="480"/>
      <c r="I39" s="480"/>
      <c r="J39" s="43"/>
    </row>
    <row r="40" spans="1:12" s="42" customFormat="1" ht="20.25" customHeight="1" x14ac:dyDescent="0.25">
      <c r="B40" s="150"/>
      <c r="C40" s="149" t="s">
        <v>87</v>
      </c>
      <c r="D40" s="52">
        <v>6.7500000000000004E-2</v>
      </c>
      <c r="E40" s="167"/>
      <c r="F40" s="481"/>
      <c r="G40" s="479"/>
      <c r="H40" s="480"/>
      <c r="I40" s="480"/>
      <c r="J40" s="43"/>
    </row>
    <row r="41" spans="1:12" s="42" customFormat="1" ht="20.25" customHeight="1" x14ac:dyDescent="0.25">
      <c r="B41" s="150"/>
      <c r="C41" s="149" t="s">
        <v>88</v>
      </c>
      <c r="D41" s="52">
        <v>7.0000000000000007E-2</v>
      </c>
      <c r="E41" s="168">
        <v>2008</v>
      </c>
      <c r="F41" s="481"/>
      <c r="G41" s="479"/>
      <c r="H41" s="480"/>
      <c r="I41" s="480"/>
      <c r="J41" s="43"/>
    </row>
    <row r="42" spans="1:12" s="42" customFormat="1" ht="20.25" customHeight="1" x14ac:dyDescent="0.25">
      <c r="B42" s="150"/>
      <c r="C42" s="149" t="s">
        <v>89</v>
      </c>
      <c r="D42" s="52">
        <v>0.06</v>
      </c>
      <c r="E42" s="167"/>
      <c r="F42" s="481"/>
      <c r="G42" s="479"/>
      <c r="H42" s="480"/>
      <c r="I42" s="480"/>
      <c r="J42" s="43"/>
    </row>
    <row r="43" spans="1:12" s="42" customFormat="1" ht="20.25" customHeight="1" x14ac:dyDescent="0.25">
      <c r="B43" s="150"/>
      <c r="C43" s="149" t="s">
        <v>90</v>
      </c>
      <c r="D43" s="52">
        <v>0.06</v>
      </c>
      <c r="E43" s="167">
        <v>1994</v>
      </c>
      <c r="F43" s="481"/>
      <c r="G43" s="479"/>
      <c r="H43" s="480"/>
      <c r="I43" s="480"/>
      <c r="J43" s="43"/>
    </row>
    <row r="44" spans="1:12" s="42" customFormat="1" x14ac:dyDescent="0.25">
      <c r="B44" s="150"/>
      <c r="C44" s="149" t="s">
        <v>91</v>
      </c>
      <c r="D44" s="166">
        <v>7.4499999999999997E-2</v>
      </c>
      <c r="E44" s="169" t="s">
        <v>389</v>
      </c>
      <c r="F44" s="481"/>
      <c r="G44" s="479"/>
      <c r="H44" s="480"/>
      <c r="I44" s="480"/>
      <c r="J44" s="43"/>
    </row>
    <row r="45" spans="1:12" s="42" customFormat="1" ht="20.25" customHeight="1" x14ac:dyDescent="0.25">
      <c r="B45" s="150"/>
      <c r="C45" s="149" t="s">
        <v>92</v>
      </c>
      <c r="D45" s="166">
        <v>8.3500000000000005E-2</v>
      </c>
      <c r="E45" s="169" t="s">
        <v>389</v>
      </c>
      <c r="F45" s="481"/>
      <c r="G45" s="479"/>
      <c r="H45" s="480"/>
      <c r="I45" s="480"/>
      <c r="J45" s="43"/>
    </row>
  </sheetData>
  <mergeCells count="47">
    <mergeCell ref="F19:I19"/>
    <mergeCell ref="A17:D17"/>
    <mergeCell ref="F17:I17"/>
    <mergeCell ref="A18:I18"/>
    <mergeCell ref="A33:C33"/>
    <mergeCell ref="F33:I33"/>
    <mergeCell ref="F20:I20"/>
    <mergeCell ref="F21:I21"/>
    <mergeCell ref="A22:D22"/>
    <mergeCell ref="F22:I22"/>
    <mergeCell ref="A23:I23"/>
    <mergeCell ref="F24:I24"/>
    <mergeCell ref="F25:I25"/>
    <mergeCell ref="F28:I28"/>
    <mergeCell ref="A32:I32"/>
    <mergeCell ref="F29:I29"/>
    <mergeCell ref="E3:I3"/>
    <mergeCell ref="E8:I8"/>
    <mergeCell ref="A1:I1"/>
    <mergeCell ref="E2:I2"/>
    <mergeCell ref="A8:C8"/>
    <mergeCell ref="E4:I4"/>
    <mergeCell ref="E5:I5"/>
    <mergeCell ref="E6:I6"/>
    <mergeCell ref="E7:I7"/>
    <mergeCell ref="F30:I30"/>
    <mergeCell ref="F26:I26"/>
    <mergeCell ref="F27:I27"/>
    <mergeCell ref="A36:D36"/>
    <mergeCell ref="F36:I36"/>
    <mergeCell ref="F38:I45"/>
    <mergeCell ref="F31:I31"/>
    <mergeCell ref="A31:D31"/>
    <mergeCell ref="B38:C38"/>
    <mergeCell ref="F34:I34"/>
    <mergeCell ref="F35:I35"/>
    <mergeCell ref="A10:A11"/>
    <mergeCell ref="E10:E11"/>
    <mergeCell ref="F13:I13"/>
    <mergeCell ref="F14:I14"/>
    <mergeCell ref="A9:I9"/>
    <mergeCell ref="F12:I12"/>
    <mergeCell ref="F15:I15"/>
    <mergeCell ref="F16:I16"/>
    <mergeCell ref="F10:I10"/>
    <mergeCell ref="F11:I11"/>
    <mergeCell ref="C10:C11"/>
  </mergeCells>
  <dataValidations count="2">
    <dataValidation type="list" allowBlank="1" showInputMessage="1" showErrorMessage="1" sqref="B24" xr:uid="{4FC8DC75-35EE-489D-B947-77A0E6169C0D}">
      <formula1>"N/A , Certified, Silver, Gold, Platinum, Government"</formula1>
    </dataValidation>
    <dataValidation type="list" allowBlank="1" showInputMessage="1" showErrorMessage="1" sqref="B34" xr:uid="{AAB0A724-FF68-42E6-B029-DAB1E3BAE1C3}">
      <formula1>$C$39:$C$45</formula1>
    </dataValidation>
  </dataValidations>
  <printOptions horizontalCentered="1"/>
  <pageMargins left="0.5" right="0.5" top="0.5" bottom="0.5" header="0.3" footer="0.3"/>
  <pageSetup orientation="landscape" horizontalDpi="1200" verticalDpi="120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8A80E-E21F-4193-ADD2-5AE231B929B2}">
  <sheetPr>
    <tabColor theme="4" tint="0.39997558519241921"/>
  </sheetPr>
  <dimension ref="A1:AD600"/>
  <sheetViews>
    <sheetView topLeftCell="A29" zoomScale="140" zoomScaleNormal="140" workbookViewId="0">
      <selection activeCell="A54" sqref="A54:R54"/>
    </sheetView>
  </sheetViews>
  <sheetFormatPr defaultColWidth="8.25" defaultRowHeight="20.100000000000001" customHeight="1" x14ac:dyDescent="0.25"/>
  <cols>
    <col min="1" max="1" width="5.25" style="97" customWidth="1"/>
    <col min="2" max="2" width="3.125" style="97" customWidth="1"/>
    <col min="3" max="3" width="1.375" style="97" customWidth="1"/>
    <col min="4" max="4" width="2.625" style="97" customWidth="1"/>
    <col min="5" max="5" width="4.25" style="97" customWidth="1"/>
    <col min="6" max="6" width="2.25" style="97" customWidth="1"/>
    <col min="7" max="7" width="4" style="97" customWidth="1"/>
    <col min="8" max="8" width="3.75" style="97" customWidth="1"/>
    <col min="9" max="9" width="3.875" style="97" customWidth="1"/>
    <col min="10" max="10" width="4" style="97" customWidth="1"/>
    <col min="11" max="11" width="7.5" style="97" customWidth="1"/>
    <col min="12" max="12" width="8.625" style="97" customWidth="1"/>
    <col min="13" max="13" width="2.375" style="97" customWidth="1"/>
    <col min="14" max="15" width="4.625" style="97" customWidth="1"/>
    <col min="16" max="16" width="3.5" style="97" customWidth="1"/>
    <col min="17" max="17" width="1.75" style="97" customWidth="1"/>
    <col min="18" max="18" width="33.875" style="97" customWidth="1"/>
    <col min="19" max="16384" width="8.25" style="97"/>
  </cols>
  <sheetData>
    <row r="1" spans="1:25" ht="15.6" customHeight="1" x14ac:dyDescent="0.25">
      <c r="R1" s="98"/>
    </row>
    <row r="2" spans="1:25" ht="15.6" customHeight="1" x14ac:dyDescent="0.25">
      <c r="O2" s="530" t="s">
        <v>146</v>
      </c>
      <c r="P2" s="531"/>
      <c r="Q2" s="531"/>
      <c r="R2" s="531"/>
    </row>
    <row r="3" spans="1:25" ht="15.6" customHeight="1" x14ac:dyDescent="0.25">
      <c r="O3" s="530" t="s">
        <v>147</v>
      </c>
      <c r="P3" s="531"/>
      <c r="Q3" s="531"/>
      <c r="R3" s="531"/>
    </row>
    <row r="4" spans="1:25" ht="14.25" customHeight="1" x14ac:dyDescent="0.25">
      <c r="O4" s="530" t="s">
        <v>148</v>
      </c>
      <c r="P4" s="531"/>
      <c r="Q4" s="531"/>
      <c r="R4" s="531"/>
    </row>
    <row r="5" spans="1:25" ht="11.1" customHeight="1" x14ac:dyDescent="0.25"/>
    <row r="6" spans="1:25" ht="11.25" customHeight="1" x14ac:dyDescent="0.25"/>
    <row r="7" spans="1:25" s="99" customFormat="1" ht="15" customHeight="1" x14ac:dyDescent="0.25">
      <c r="A7" s="99" t="s">
        <v>2</v>
      </c>
      <c r="B7" s="532">
        <f ca="1">RECAP!K2</f>
        <v>46238</v>
      </c>
      <c r="C7" s="532"/>
      <c r="D7" s="532"/>
      <c r="E7" s="532"/>
      <c r="F7" s="532"/>
      <c r="I7" s="533" t="s">
        <v>149</v>
      </c>
      <c r="J7" s="534"/>
      <c r="K7" s="534"/>
      <c r="L7" s="100">
        <f ca="1">B7+6</f>
        <v>46244</v>
      </c>
      <c r="N7" s="535" t="s">
        <v>0</v>
      </c>
      <c r="O7" s="536"/>
      <c r="P7" s="536"/>
      <c r="Q7" s="537" t="str">
        <f>RECAP!K1</f>
        <v>E26-XXX</v>
      </c>
      <c r="R7" s="537"/>
    </row>
    <row r="8" spans="1:25" s="99" customFormat="1" ht="4.1500000000000004" customHeight="1" x14ac:dyDescent="0.25">
      <c r="B8" s="102"/>
      <c r="C8" s="102"/>
      <c r="D8" s="102"/>
      <c r="E8" s="102"/>
      <c r="I8" s="102"/>
      <c r="O8" s="101"/>
      <c r="P8" s="101"/>
      <c r="Q8" s="101"/>
      <c r="R8" s="101"/>
    </row>
    <row r="9" spans="1:25" s="101" customFormat="1" ht="15" customHeight="1" x14ac:dyDescent="0.25">
      <c r="A9" s="540" t="s">
        <v>150</v>
      </c>
      <c r="B9" s="539"/>
      <c r="C9" s="537">
        <f>RECAP!C10</f>
        <v>0</v>
      </c>
      <c r="D9" s="537"/>
      <c r="E9" s="537"/>
      <c r="F9" s="537"/>
      <c r="G9" s="537"/>
      <c r="H9" s="537"/>
      <c r="I9" s="537"/>
      <c r="J9" s="537"/>
      <c r="K9" s="537"/>
      <c r="L9" s="537"/>
      <c r="M9" s="537"/>
      <c r="N9" s="535" t="s">
        <v>151</v>
      </c>
      <c r="O9" s="536"/>
      <c r="P9" s="536"/>
      <c r="Q9" s="536"/>
      <c r="R9" s="262">
        <f>RECAP!C9</f>
        <v>0</v>
      </c>
      <c r="S9" s="99"/>
      <c r="T9" s="99"/>
    </row>
    <row r="10" spans="1:25" s="101" customFormat="1" ht="15" customHeight="1" x14ac:dyDescent="0.25">
      <c r="A10" s="99"/>
      <c r="C10" s="537" t="str">
        <f>RECAP!I10</f>
        <v>(City, State)</v>
      </c>
      <c r="D10" s="537"/>
      <c r="E10" s="537"/>
      <c r="F10" s="537"/>
      <c r="G10" s="537"/>
      <c r="H10" s="537"/>
      <c r="I10" s="537"/>
      <c r="J10" s="537"/>
      <c r="K10" s="537"/>
      <c r="L10" s="537"/>
      <c r="M10" s="537"/>
      <c r="N10" s="535" t="s">
        <v>152</v>
      </c>
      <c r="O10" s="536"/>
      <c r="P10" s="536"/>
      <c r="Q10" s="536"/>
      <c r="R10" s="172"/>
      <c r="S10" s="99"/>
      <c r="T10" s="99"/>
    </row>
    <row r="11" spans="1:25" s="101" customFormat="1" ht="4.1500000000000004" customHeight="1" x14ac:dyDescent="0.25">
      <c r="A11" s="99"/>
      <c r="S11" s="103"/>
      <c r="T11" s="103"/>
      <c r="X11" s="99"/>
      <c r="Y11" s="99"/>
    </row>
    <row r="12" spans="1:25" s="101" customFormat="1" ht="15" customHeight="1" x14ac:dyDescent="0.25">
      <c r="A12" s="538" t="s">
        <v>153</v>
      </c>
      <c r="B12" s="539"/>
      <c r="C12" s="539"/>
      <c r="D12" s="539"/>
      <c r="E12" s="539"/>
      <c r="F12" s="539"/>
      <c r="G12" s="539"/>
      <c r="H12" s="540"/>
      <c r="I12" s="539"/>
      <c r="J12" s="539"/>
      <c r="K12" s="539"/>
      <c r="L12" s="539"/>
      <c r="M12" s="539"/>
      <c r="N12" s="539"/>
      <c r="O12" s="539"/>
      <c r="P12" s="539"/>
      <c r="Q12" s="539"/>
      <c r="R12" s="539"/>
      <c r="X12" s="99"/>
      <c r="Y12" s="99"/>
    </row>
    <row r="13" spans="1:25" s="101" customFormat="1" ht="15" customHeight="1" x14ac:dyDescent="0.25">
      <c r="A13" s="538" t="s">
        <v>154</v>
      </c>
      <c r="B13" s="539"/>
      <c r="C13" s="539"/>
      <c r="D13" s="539"/>
      <c r="E13" s="539"/>
      <c r="F13" s="539"/>
      <c r="G13" s="537"/>
      <c r="H13" s="539"/>
      <c r="I13" s="539"/>
      <c r="J13" s="539"/>
      <c r="K13" s="539"/>
      <c r="L13" s="539"/>
      <c r="M13" s="539"/>
      <c r="N13" s="539"/>
      <c r="O13" s="539"/>
      <c r="P13" s="539"/>
      <c r="Q13" s="539"/>
      <c r="R13" s="539"/>
      <c r="T13" s="99"/>
      <c r="U13" s="99"/>
      <c r="V13" s="99"/>
      <c r="X13" s="99"/>
      <c r="Y13" s="99"/>
    </row>
    <row r="14" spans="1:25" s="101" customFormat="1" ht="15" customHeight="1" x14ac:dyDescent="0.25">
      <c r="A14" s="541" t="s">
        <v>155</v>
      </c>
      <c r="B14" s="541"/>
      <c r="C14" s="541"/>
      <c r="D14" s="541"/>
      <c r="E14" s="541"/>
      <c r="F14" s="541"/>
      <c r="G14" s="541"/>
      <c r="H14" s="541"/>
      <c r="I14" s="541"/>
      <c r="J14" s="541"/>
      <c r="K14" s="541"/>
      <c r="L14" s="541"/>
      <c r="M14" s="541"/>
      <c r="N14" s="541"/>
      <c r="O14" s="541"/>
      <c r="P14" s="541"/>
      <c r="Q14" s="541"/>
      <c r="R14" s="541"/>
      <c r="V14" s="99"/>
      <c r="X14" s="99"/>
      <c r="Y14" s="99"/>
    </row>
    <row r="15" spans="1:25" s="101" customFormat="1" ht="15" customHeight="1" x14ac:dyDescent="0.25">
      <c r="A15" s="541"/>
      <c r="B15" s="541"/>
      <c r="C15" s="541"/>
      <c r="D15" s="541"/>
      <c r="E15" s="541"/>
      <c r="F15" s="541"/>
      <c r="G15" s="541"/>
      <c r="H15" s="541"/>
      <c r="I15" s="541"/>
      <c r="J15" s="541"/>
      <c r="K15" s="541"/>
      <c r="L15" s="541"/>
      <c r="M15" s="541"/>
      <c r="N15" s="541"/>
      <c r="O15" s="541"/>
      <c r="P15" s="541"/>
      <c r="Q15" s="541"/>
      <c r="R15" s="541"/>
      <c r="T15" s="99"/>
      <c r="U15" s="99"/>
      <c r="V15" s="99"/>
      <c r="X15" s="99"/>
      <c r="Y15" s="99"/>
    </row>
    <row r="16" spans="1:25" s="101" customFormat="1" ht="15" customHeight="1" x14ac:dyDescent="0.25">
      <c r="A16" s="541"/>
      <c r="B16" s="541"/>
      <c r="C16" s="541"/>
      <c r="D16" s="541"/>
      <c r="E16" s="541"/>
      <c r="F16" s="541"/>
      <c r="G16" s="541"/>
      <c r="H16" s="541"/>
      <c r="I16" s="541"/>
      <c r="J16" s="541"/>
      <c r="K16" s="541"/>
      <c r="L16" s="541"/>
      <c r="M16" s="541"/>
      <c r="N16" s="541"/>
      <c r="O16" s="541"/>
      <c r="P16" s="541"/>
      <c r="Q16" s="541"/>
      <c r="R16" s="541"/>
    </row>
    <row r="17" spans="1:30" s="101" customFormat="1" ht="15" customHeight="1" x14ac:dyDescent="0.25">
      <c r="A17" s="541"/>
      <c r="B17" s="541"/>
      <c r="C17" s="541"/>
      <c r="D17" s="541"/>
      <c r="E17" s="541"/>
      <c r="F17" s="541"/>
      <c r="G17" s="541"/>
      <c r="H17" s="541"/>
      <c r="I17" s="541"/>
      <c r="J17" s="541"/>
      <c r="K17" s="541"/>
      <c r="L17" s="541"/>
      <c r="M17" s="541"/>
      <c r="N17" s="541"/>
      <c r="O17" s="541"/>
      <c r="P17" s="541"/>
      <c r="Q17" s="541"/>
      <c r="R17" s="541"/>
      <c r="X17" s="104"/>
      <c r="Y17" s="104"/>
      <c r="Z17" s="104"/>
      <c r="AA17" s="104"/>
    </row>
    <row r="18" spans="1:30" s="101" customFormat="1" ht="15" customHeight="1" x14ac:dyDescent="0.25">
      <c r="A18" s="541"/>
      <c r="B18" s="541"/>
      <c r="C18" s="541"/>
      <c r="D18" s="541"/>
      <c r="E18" s="541"/>
      <c r="F18" s="541"/>
      <c r="G18" s="541"/>
      <c r="H18" s="541"/>
      <c r="I18" s="541"/>
      <c r="J18" s="541"/>
      <c r="K18" s="541"/>
      <c r="L18" s="541"/>
      <c r="M18" s="541"/>
      <c r="N18" s="541"/>
      <c r="O18" s="541"/>
      <c r="P18" s="541"/>
      <c r="Q18" s="541"/>
      <c r="R18" s="541"/>
    </row>
    <row r="19" spans="1:30" s="101" customFormat="1" ht="15" customHeight="1" x14ac:dyDescent="0.25">
      <c r="A19" s="542" t="s">
        <v>156</v>
      </c>
      <c r="B19" s="543"/>
      <c r="C19" s="543"/>
      <c r="D19" s="543"/>
      <c r="E19" s="544"/>
      <c r="F19" s="545"/>
      <c r="G19" s="545"/>
      <c r="H19" s="545"/>
      <c r="I19" s="545"/>
      <c r="J19" s="545"/>
      <c r="K19" s="545"/>
      <c r="L19" s="545"/>
      <c r="M19" s="545"/>
      <c r="N19" s="545"/>
      <c r="O19" s="545"/>
      <c r="P19" s="545"/>
      <c r="Q19" s="545"/>
      <c r="R19" s="545"/>
      <c r="U19" s="549"/>
      <c r="V19" s="549"/>
      <c r="W19" s="549"/>
      <c r="X19" s="549"/>
      <c r="Y19" s="549"/>
      <c r="Z19" s="549"/>
      <c r="AA19" s="549"/>
      <c r="AB19" s="549"/>
      <c r="AC19" s="549"/>
      <c r="AD19" s="549"/>
    </row>
    <row r="20" spans="1:30" s="101" customFormat="1" ht="15" customHeight="1" x14ac:dyDescent="0.25">
      <c r="A20" s="543"/>
      <c r="B20" s="543"/>
      <c r="C20" s="543"/>
      <c r="D20" s="543"/>
      <c r="E20" s="545"/>
      <c r="F20" s="545"/>
      <c r="G20" s="545"/>
      <c r="H20" s="545"/>
      <c r="I20" s="545"/>
      <c r="J20" s="545"/>
      <c r="K20" s="545"/>
      <c r="L20" s="545"/>
      <c r="M20" s="545"/>
      <c r="N20" s="545"/>
      <c r="O20" s="545"/>
      <c r="P20" s="545"/>
      <c r="Q20" s="545"/>
      <c r="R20" s="545"/>
      <c r="U20" s="549"/>
      <c r="V20" s="549"/>
      <c r="W20" s="549"/>
      <c r="X20" s="549"/>
      <c r="Y20" s="549"/>
      <c r="Z20" s="549"/>
      <c r="AA20" s="549"/>
      <c r="AB20" s="549"/>
      <c r="AC20" s="549"/>
      <c r="AD20" s="549"/>
    </row>
    <row r="21" spans="1:30" s="101" customFormat="1" ht="15" customHeight="1" x14ac:dyDescent="0.25">
      <c r="A21" s="547" t="s">
        <v>157</v>
      </c>
      <c r="B21" s="539"/>
      <c r="C21" s="539"/>
      <c r="D21" s="539"/>
      <c r="E21" s="540"/>
      <c r="F21" s="539"/>
      <c r="G21" s="539"/>
      <c r="H21" s="539"/>
      <c r="I21" s="539"/>
      <c r="J21" s="539"/>
      <c r="K21" s="539"/>
      <c r="L21" s="539"/>
      <c r="M21" s="539"/>
      <c r="N21" s="539"/>
      <c r="O21" s="539"/>
      <c r="P21" s="539"/>
      <c r="Q21" s="539"/>
      <c r="R21" s="539"/>
      <c r="U21" s="549"/>
      <c r="V21" s="549"/>
      <c r="W21" s="549"/>
      <c r="X21" s="549"/>
      <c r="Y21" s="549"/>
      <c r="Z21" s="549"/>
      <c r="AA21" s="549"/>
      <c r="AB21" s="549"/>
      <c r="AC21" s="549"/>
      <c r="AD21" s="549"/>
    </row>
    <row r="22" spans="1:30" s="105" customFormat="1" ht="15" customHeight="1" x14ac:dyDescent="0.25">
      <c r="A22" s="546" t="s">
        <v>158</v>
      </c>
      <c r="B22" s="546"/>
      <c r="C22" s="546"/>
      <c r="D22" s="546"/>
      <c r="E22" s="546"/>
      <c r="F22" s="546"/>
      <c r="G22" s="546"/>
      <c r="H22" s="546"/>
      <c r="I22" s="546"/>
      <c r="J22" s="546"/>
      <c r="K22" s="546"/>
      <c r="L22" s="546"/>
      <c r="M22" s="315"/>
      <c r="N22" s="315"/>
      <c r="O22" s="315"/>
      <c r="P22" s="315"/>
      <c r="Q22" s="315"/>
      <c r="R22" s="315"/>
      <c r="T22" s="101"/>
      <c r="U22" s="549"/>
      <c r="V22" s="549"/>
      <c r="W22" s="549"/>
      <c r="X22" s="549"/>
      <c r="Y22" s="549"/>
      <c r="Z22" s="549"/>
      <c r="AA22" s="549"/>
      <c r="AB22" s="549"/>
      <c r="AC22" s="549"/>
      <c r="AD22" s="549"/>
    </row>
    <row r="23" spans="1:30" s="105" customFormat="1" ht="15" customHeight="1" x14ac:dyDescent="0.25">
      <c r="A23" s="546" t="s">
        <v>159</v>
      </c>
      <c r="B23" s="546"/>
      <c r="C23" s="546"/>
      <c r="D23" s="546"/>
      <c r="E23" s="546"/>
      <c r="F23" s="546"/>
      <c r="G23" s="546"/>
      <c r="H23" s="546"/>
      <c r="I23" s="546"/>
      <c r="J23" s="546"/>
      <c r="K23" s="546"/>
      <c r="L23" s="546"/>
      <c r="M23" s="315"/>
      <c r="N23" s="315"/>
      <c r="O23" s="315"/>
      <c r="P23" s="315"/>
      <c r="Q23" s="315"/>
      <c r="R23" s="315"/>
      <c r="T23" s="101"/>
      <c r="U23" s="549"/>
      <c r="V23" s="549"/>
      <c r="W23" s="549"/>
      <c r="X23" s="549"/>
      <c r="Y23" s="549"/>
      <c r="Z23" s="549"/>
      <c r="AA23" s="549"/>
      <c r="AB23" s="549"/>
      <c r="AC23" s="549"/>
      <c r="AD23" s="549"/>
    </row>
    <row r="24" spans="1:30" s="105" customFormat="1" ht="15" customHeight="1" x14ac:dyDescent="0.25">
      <c r="A24" s="546" t="s">
        <v>159</v>
      </c>
      <c r="B24" s="546"/>
      <c r="C24" s="546"/>
      <c r="D24" s="546"/>
      <c r="E24" s="546"/>
      <c r="F24" s="546"/>
      <c r="G24" s="546"/>
      <c r="H24" s="546"/>
      <c r="I24" s="546"/>
      <c r="J24" s="546"/>
      <c r="K24" s="546"/>
      <c r="L24" s="546"/>
      <c r="M24" s="315"/>
      <c r="N24" s="315"/>
      <c r="O24" s="315"/>
      <c r="P24" s="315"/>
      <c r="Q24" s="315"/>
      <c r="R24" s="315"/>
      <c r="T24" s="101"/>
      <c r="U24" s="549"/>
      <c r="V24" s="549"/>
      <c r="W24" s="549"/>
      <c r="X24" s="549"/>
      <c r="Y24" s="549"/>
      <c r="Z24" s="549"/>
      <c r="AA24" s="549"/>
      <c r="AB24" s="549"/>
      <c r="AC24" s="549"/>
      <c r="AD24" s="549"/>
    </row>
    <row r="25" spans="1:30" s="105" customFormat="1" ht="15" customHeight="1" x14ac:dyDescent="0.25">
      <c r="A25" s="546" t="s">
        <v>159</v>
      </c>
      <c r="B25" s="546"/>
      <c r="C25" s="546"/>
      <c r="D25" s="546"/>
      <c r="E25" s="546"/>
      <c r="F25" s="546"/>
      <c r="G25" s="546"/>
      <c r="H25" s="546"/>
      <c r="I25" s="546"/>
      <c r="J25" s="546"/>
      <c r="K25" s="546"/>
      <c r="L25" s="546"/>
      <c r="M25" s="315"/>
      <c r="N25" s="315"/>
      <c r="O25" s="315"/>
      <c r="P25" s="315"/>
      <c r="Q25" s="315"/>
      <c r="R25" s="315"/>
      <c r="T25" s="106"/>
      <c r="U25" s="549"/>
      <c r="V25" s="549"/>
      <c r="W25" s="549"/>
      <c r="X25" s="549"/>
      <c r="Y25" s="549"/>
      <c r="Z25" s="549"/>
      <c r="AA25" s="549"/>
      <c r="AB25" s="549"/>
      <c r="AC25" s="549"/>
      <c r="AD25" s="549"/>
    </row>
    <row r="26" spans="1:30" s="105" customFormat="1" ht="15" customHeight="1" x14ac:dyDescent="0.25">
      <c r="A26" s="546" t="s">
        <v>159</v>
      </c>
      <c r="B26" s="546"/>
      <c r="C26" s="546"/>
      <c r="D26" s="546"/>
      <c r="E26" s="546"/>
      <c r="F26" s="546"/>
      <c r="G26" s="546"/>
      <c r="H26" s="546"/>
      <c r="I26" s="546"/>
      <c r="J26" s="546"/>
      <c r="K26" s="546"/>
      <c r="L26" s="546"/>
      <c r="M26" s="315"/>
      <c r="N26" s="315"/>
      <c r="O26" s="315"/>
      <c r="P26" s="315"/>
      <c r="Q26" s="315"/>
      <c r="R26" s="315"/>
      <c r="T26" s="101"/>
      <c r="U26" s="549"/>
      <c r="V26" s="549"/>
      <c r="W26" s="549"/>
      <c r="X26" s="549"/>
      <c r="Y26" s="549"/>
      <c r="Z26" s="549"/>
      <c r="AA26" s="549"/>
      <c r="AB26" s="549"/>
      <c r="AC26" s="549"/>
      <c r="AD26" s="549"/>
    </row>
    <row r="27" spans="1:30" s="105" customFormat="1" ht="15" customHeight="1" x14ac:dyDescent="0.25">
      <c r="A27" s="546" t="s">
        <v>159</v>
      </c>
      <c r="B27" s="546"/>
      <c r="C27" s="546"/>
      <c r="D27" s="546"/>
      <c r="E27" s="546"/>
      <c r="F27" s="546"/>
      <c r="G27" s="546"/>
      <c r="H27" s="546"/>
      <c r="I27" s="546"/>
      <c r="J27" s="546"/>
      <c r="K27" s="546"/>
      <c r="L27" s="546"/>
      <c r="M27" s="315"/>
      <c r="N27" s="315"/>
      <c r="O27" s="315"/>
      <c r="P27" s="315"/>
      <c r="Q27" s="315"/>
      <c r="R27" s="315"/>
      <c r="T27" s="106"/>
      <c r="U27" s="549"/>
      <c r="V27" s="549"/>
      <c r="W27" s="549"/>
      <c r="X27" s="549"/>
      <c r="Y27" s="549"/>
      <c r="Z27" s="549"/>
      <c r="AA27" s="549"/>
      <c r="AB27" s="549"/>
      <c r="AC27" s="549"/>
      <c r="AD27" s="549"/>
    </row>
    <row r="28" spans="1:30" s="105" customFormat="1" ht="15" customHeight="1" x14ac:dyDescent="0.25">
      <c r="A28" s="546" t="s">
        <v>159</v>
      </c>
      <c r="B28" s="546"/>
      <c r="C28" s="546"/>
      <c r="D28" s="546"/>
      <c r="E28" s="546"/>
      <c r="F28" s="546"/>
      <c r="G28" s="546"/>
      <c r="H28" s="546"/>
      <c r="I28" s="546"/>
      <c r="J28" s="546"/>
      <c r="K28" s="546"/>
      <c r="L28" s="546"/>
      <c r="M28" s="315"/>
      <c r="N28" s="315"/>
      <c r="O28" s="315"/>
      <c r="P28" s="315"/>
      <c r="Q28" s="315"/>
      <c r="R28" s="315"/>
      <c r="T28" s="101"/>
      <c r="U28" s="549"/>
      <c r="V28" s="549"/>
      <c r="W28" s="549"/>
      <c r="X28" s="549"/>
      <c r="Y28" s="549"/>
      <c r="Z28" s="549"/>
      <c r="AA28" s="549"/>
      <c r="AB28" s="549"/>
      <c r="AC28" s="549"/>
      <c r="AD28" s="549"/>
    </row>
    <row r="29" spans="1:30" s="105" customFormat="1" ht="15" customHeight="1" x14ac:dyDescent="0.25">
      <c r="A29" s="546" t="s">
        <v>159</v>
      </c>
      <c r="B29" s="546"/>
      <c r="C29" s="546"/>
      <c r="D29" s="546"/>
      <c r="E29" s="546"/>
      <c r="F29" s="546"/>
      <c r="G29" s="546"/>
      <c r="H29" s="546"/>
      <c r="I29" s="546"/>
      <c r="J29" s="546"/>
      <c r="K29" s="546"/>
      <c r="L29" s="546"/>
      <c r="M29" s="315"/>
      <c r="N29" s="315"/>
      <c r="O29" s="315"/>
      <c r="P29" s="315"/>
      <c r="Q29" s="315"/>
      <c r="R29" s="315"/>
      <c r="T29" s="106"/>
      <c r="U29" s="549"/>
      <c r="V29" s="549"/>
      <c r="W29" s="549"/>
      <c r="X29" s="549"/>
      <c r="Y29" s="549"/>
      <c r="Z29" s="549"/>
      <c r="AA29" s="549"/>
      <c r="AB29" s="549"/>
      <c r="AC29" s="549"/>
      <c r="AD29" s="549"/>
    </row>
    <row r="30" spans="1:30" s="105" customFormat="1" ht="15" customHeight="1" x14ac:dyDescent="0.25">
      <c r="A30" s="546" t="s">
        <v>159</v>
      </c>
      <c r="B30" s="546"/>
      <c r="C30" s="546"/>
      <c r="D30" s="546"/>
      <c r="E30" s="546"/>
      <c r="F30" s="546"/>
      <c r="G30" s="546"/>
      <c r="H30" s="546"/>
      <c r="I30" s="546"/>
      <c r="J30" s="546"/>
      <c r="K30" s="546"/>
      <c r="L30" s="546"/>
      <c r="M30" s="315"/>
      <c r="N30" s="315"/>
      <c r="O30" s="315"/>
      <c r="P30" s="315"/>
      <c r="Q30" s="315"/>
      <c r="R30" s="315"/>
      <c r="U30" s="549"/>
      <c r="V30" s="549"/>
      <c r="W30" s="549"/>
      <c r="X30" s="549"/>
      <c r="Y30" s="549"/>
      <c r="Z30" s="549"/>
      <c r="AA30" s="549"/>
      <c r="AB30" s="549"/>
      <c r="AC30" s="549"/>
      <c r="AD30" s="549"/>
    </row>
    <row r="31" spans="1:30" s="105" customFormat="1" ht="15" customHeight="1" x14ac:dyDescent="0.25">
      <c r="A31" s="546" t="s">
        <v>160</v>
      </c>
      <c r="B31" s="546"/>
      <c r="C31" s="546"/>
      <c r="D31" s="546"/>
      <c r="E31" s="546"/>
      <c r="F31" s="546"/>
      <c r="G31" s="546"/>
      <c r="H31" s="546"/>
      <c r="I31" s="546"/>
      <c r="J31" s="546"/>
      <c r="K31" s="546"/>
      <c r="L31" s="546"/>
      <c r="M31" s="315"/>
      <c r="N31" s="315"/>
      <c r="O31" s="315"/>
      <c r="P31" s="315"/>
      <c r="Q31" s="315"/>
      <c r="R31" s="315"/>
      <c r="U31" s="549"/>
      <c r="V31" s="549"/>
      <c r="W31" s="549"/>
      <c r="X31" s="549"/>
      <c r="Y31" s="549"/>
      <c r="Z31" s="549"/>
      <c r="AA31" s="549"/>
      <c r="AB31" s="549"/>
      <c r="AC31" s="549"/>
      <c r="AD31" s="549"/>
    </row>
    <row r="32" spans="1:30" s="105" customFormat="1" ht="15" customHeight="1" x14ac:dyDescent="0.25">
      <c r="A32" s="546" t="s">
        <v>161</v>
      </c>
      <c r="B32" s="546"/>
      <c r="C32" s="546"/>
      <c r="D32" s="546"/>
      <c r="E32" s="546"/>
      <c r="F32" s="546"/>
      <c r="G32" s="546"/>
      <c r="H32" s="546"/>
      <c r="I32" s="546"/>
      <c r="J32" s="546"/>
      <c r="K32" s="546"/>
      <c r="L32" s="546"/>
      <c r="M32" s="315"/>
      <c r="N32" s="315"/>
      <c r="O32" s="315"/>
      <c r="P32" s="315"/>
      <c r="Q32" s="315"/>
      <c r="R32" s="315"/>
      <c r="U32" s="549"/>
      <c r="V32" s="549"/>
      <c r="W32" s="549"/>
      <c r="X32" s="549"/>
      <c r="Y32" s="549"/>
      <c r="Z32" s="549"/>
      <c r="AA32" s="549"/>
      <c r="AB32" s="549"/>
      <c r="AC32" s="549"/>
      <c r="AD32" s="549"/>
    </row>
    <row r="33" spans="1:30" s="105" customFormat="1" ht="4.1500000000000004" customHeight="1" x14ac:dyDescent="0.25">
      <c r="A33" s="546"/>
      <c r="B33" s="315"/>
      <c r="C33" s="315"/>
      <c r="D33" s="315"/>
      <c r="E33" s="315"/>
      <c r="F33" s="315"/>
      <c r="G33" s="315"/>
      <c r="H33" s="315"/>
      <c r="I33" s="315"/>
      <c r="J33" s="315"/>
      <c r="K33" s="315"/>
      <c r="L33" s="315"/>
      <c r="M33" s="315"/>
      <c r="N33" s="315"/>
      <c r="O33" s="315"/>
      <c r="P33" s="315"/>
      <c r="Q33" s="315"/>
      <c r="R33" s="315"/>
      <c r="U33" s="549"/>
      <c r="V33" s="549"/>
      <c r="W33" s="549"/>
      <c r="X33" s="549"/>
      <c r="Y33" s="549"/>
      <c r="Z33" s="549"/>
      <c r="AA33" s="549"/>
      <c r="AB33" s="549"/>
      <c r="AC33" s="549"/>
      <c r="AD33" s="549"/>
    </row>
    <row r="34" spans="1:30" s="101" customFormat="1" ht="15" customHeight="1" x14ac:dyDescent="0.25">
      <c r="A34" s="547" t="s">
        <v>162</v>
      </c>
      <c r="B34" s="539"/>
      <c r="C34" s="539"/>
      <c r="D34" s="539"/>
      <c r="E34" s="539"/>
      <c r="F34" s="539"/>
      <c r="G34" s="539"/>
      <c r="H34" s="539"/>
      <c r="I34" s="539"/>
      <c r="J34" s="539"/>
      <c r="K34" s="539"/>
      <c r="L34" s="539"/>
      <c r="M34" s="539"/>
      <c r="N34" s="539"/>
      <c r="O34" s="539"/>
      <c r="P34" s="539"/>
      <c r="Q34" s="539"/>
      <c r="R34" s="539"/>
    </row>
    <row r="35" spans="1:30" s="101" customFormat="1" ht="15" customHeight="1" x14ac:dyDescent="0.25">
      <c r="A35" s="548" t="s">
        <v>163</v>
      </c>
      <c r="B35" s="548"/>
      <c r="C35" s="548"/>
      <c r="D35" s="548"/>
      <c r="E35" s="548"/>
      <c r="F35" s="548"/>
      <c r="G35" s="548"/>
      <c r="H35" s="548"/>
      <c r="I35" s="548"/>
      <c r="J35" s="548"/>
      <c r="K35" s="548"/>
      <c r="L35" s="548"/>
      <c r="M35" s="539"/>
      <c r="N35" s="539"/>
      <c r="O35" s="539"/>
      <c r="P35" s="539"/>
      <c r="Q35" s="539"/>
      <c r="R35" s="539"/>
    </row>
    <row r="36" spans="1:30" s="101" customFormat="1" ht="15" customHeight="1" x14ac:dyDescent="0.25">
      <c r="A36" s="548" t="s">
        <v>164</v>
      </c>
      <c r="B36" s="548"/>
      <c r="C36" s="548"/>
      <c r="D36" s="548"/>
      <c r="E36" s="548"/>
      <c r="F36" s="548"/>
      <c r="G36" s="548"/>
      <c r="H36" s="548"/>
      <c r="I36" s="548"/>
      <c r="J36" s="548"/>
      <c r="K36" s="548"/>
      <c r="L36" s="548"/>
      <c r="M36" s="539"/>
      <c r="N36" s="539"/>
      <c r="O36" s="539"/>
      <c r="P36" s="539"/>
      <c r="Q36" s="539"/>
      <c r="R36" s="539"/>
    </row>
    <row r="37" spans="1:30" s="101" customFormat="1" ht="15" customHeight="1" x14ac:dyDescent="0.25">
      <c r="A37" s="548" t="s">
        <v>165</v>
      </c>
      <c r="B37" s="548"/>
      <c r="C37" s="548"/>
      <c r="D37" s="548"/>
      <c r="E37" s="548"/>
      <c r="F37" s="548"/>
      <c r="G37" s="548"/>
      <c r="H37" s="548"/>
      <c r="I37" s="548"/>
      <c r="J37" s="548"/>
      <c r="K37" s="548"/>
      <c r="L37" s="548"/>
      <c r="M37" s="539"/>
      <c r="N37" s="539"/>
      <c r="O37" s="539"/>
      <c r="P37" s="539"/>
      <c r="Q37" s="539"/>
      <c r="R37" s="539"/>
    </row>
    <row r="38" spans="1:30" s="101" customFormat="1" ht="15" customHeight="1" x14ac:dyDescent="0.25">
      <c r="A38" s="548" t="s">
        <v>166</v>
      </c>
      <c r="B38" s="551"/>
      <c r="C38" s="551"/>
      <c r="D38" s="551"/>
      <c r="E38" s="551"/>
      <c r="F38" s="551"/>
      <c r="G38" s="551"/>
      <c r="H38" s="551"/>
      <c r="I38" s="551"/>
      <c r="J38" s="551"/>
      <c r="K38" s="551"/>
      <c r="L38" s="551"/>
      <c r="M38" s="539"/>
      <c r="N38" s="539"/>
      <c r="O38" s="539"/>
      <c r="P38" s="539"/>
      <c r="Q38" s="539"/>
      <c r="R38" s="539"/>
    </row>
    <row r="39" spans="1:30" s="101" customFormat="1" ht="15" customHeight="1" x14ac:dyDescent="0.25">
      <c r="A39" s="548" t="s">
        <v>167</v>
      </c>
      <c r="B39" s="539"/>
      <c r="C39" s="539"/>
      <c r="D39" s="539"/>
      <c r="E39" s="539"/>
      <c r="F39" s="539"/>
      <c r="G39" s="539"/>
      <c r="H39" s="539"/>
      <c r="I39" s="539"/>
      <c r="J39" s="539"/>
      <c r="K39" s="539"/>
      <c r="L39" s="539"/>
      <c r="M39" s="539"/>
      <c r="N39" s="539"/>
      <c r="O39" s="539"/>
      <c r="P39" s="539"/>
      <c r="Q39" s="539"/>
      <c r="R39" s="539"/>
    </row>
    <row r="40" spans="1:30" s="101" customFormat="1" ht="15" customHeight="1" x14ac:dyDescent="0.25">
      <c r="A40" s="548" t="s">
        <v>168</v>
      </c>
      <c r="B40" s="551"/>
      <c r="C40" s="551"/>
      <c r="D40" s="551"/>
      <c r="E40" s="551"/>
      <c r="F40" s="551"/>
      <c r="G40" s="551"/>
      <c r="H40" s="551"/>
      <c r="I40" s="551"/>
      <c r="J40" s="551"/>
      <c r="K40" s="551"/>
      <c r="L40" s="551"/>
      <c r="M40" s="539"/>
      <c r="N40" s="539"/>
      <c r="O40" s="539"/>
      <c r="P40" s="539"/>
      <c r="Q40" s="539"/>
      <c r="R40" s="539"/>
    </row>
    <row r="41" spans="1:30" s="101" customFormat="1" ht="15" customHeight="1" x14ac:dyDescent="0.25">
      <c r="A41" s="548" t="s">
        <v>169</v>
      </c>
      <c r="B41" s="548"/>
      <c r="C41" s="548"/>
      <c r="D41" s="548"/>
      <c r="E41" s="548"/>
      <c r="F41" s="548"/>
      <c r="G41" s="548"/>
      <c r="H41" s="548"/>
      <c r="I41" s="548"/>
      <c r="J41" s="548"/>
      <c r="K41" s="548"/>
      <c r="L41" s="548"/>
      <c r="M41" s="539"/>
      <c r="N41" s="539"/>
      <c r="O41" s="539"/>
      <c r="P41" s="539"/>
      <c r="Q41" s="539"/>
      <c r="R41" s="539"/>
    </row>
    <row r="42" spans="1:30" s="107" customFormat="1" ht="15" customHeight="1" x14ac:dyDescent="0.3">
      <c r="A42" s="552" t="s">
        <v>170</v>
      </c>
      <c r="B42" s="553"/>
      <c r="C42" s="553"/>
      <c r="D42" s="553"/>
      <c r="E42" s="553"/>
      <c r="F42" s="553"/>
      <c r="G42" s="553"/>
      <c r="H42" s="553"/>
      <c r="I42" s="553"/>
      <c r="J42" s="553"/>
      <c r="K42" s="553"/>
      <c r="L42" s="553"/>
      <c r="M42" s="553"/>
      <c r="N42" s="553"/>
      <c r="O42" s="553"/>
      <c r="P42" s="553"/>
      <c r="Q42" s="553"/>
      <c r="R42" s="553"/>
    </row>
    <row r="43" spans="1:30" s="105" customFormat="1" ht="15" customHeight="1" x14ac:dyDescent="0.25">
      <c r="A43" s="554" t="s">
        <v>171</v>
      </c>
      <c r="B43" s="315"/>
      <c r="C43" s="315"/>
      <c r="D43" s="315"/>
      <c r="E43" s="315"/>
      <c r="F43" s="315"/>
      <c r="G43" s="315"/>
      <c r="H43" s="315"/>
      <c r="I43" s="315"/>
      <c r="J43" s="315"/>
      <c r="K43" s="315"/>
      <c r="L43" s="315"/>
      <c r="M43" s="315"/>
      <c r="N43" s="315"/>
      <c r="O43" s="315"/>
      <c r="P43" s="315"/>
      <c r="Q43" s="315"/>
      <c r="R43" s="553"/>
    </row>
    <row r="44" spans="1:30" s="101" customFormat="1" ht="15" customHeight="1" x14ac:dyDescent="0.25">
      <c r="A44" s="548" t="s">
        <v>172</v>
      </c>
      <c r="B44" s="539"/>
      <c r="C44" s="539"/>
      <c r="D44" s="539"/>
      <c r="E44" s="539"/>
      <c r="F44" s="539"/>
      <c r="G44" s="539"/>
      <c r="H44" s="539"/>
      <c r="I44" s="539"/>
      <c r="J44" s="539"/>
      <c r="K44" s="539"/>
      <c r="L44" s="539"/>
      <c r="M44" s="539"/>
      <c r="N44" s="539"/>
      <c r="O44" s="539"/>
      <c r="P44" s="539"/>
      <c r="Q44" s="539"/>
      <c r="R44" s="539"/>
    </row>
    <row r="45" spans="1:30" s="101" customFormat="1" ht="15" customHeight="1" x14ac:dyDescent="0.25">
      <c r="A45" s="548" t="s">
        <v>173</v>
      </c>
      <c r="B45" s="548"/>
      <c r="C45" s="548"/>
      <c r="D45" s="548"/>
      <c r="E45" s="548"/>
      <c r="F45" s="548"/>
      <c r="G45" s="548"/>
      <c r="H45" s="548"/>
      <c r="I45" s="548"/>
      <c r="J45" s="548"/>
      <c r="K45" s="548"/>
      <c r="L45" s="548"/>
      <c r="M45" s="539"/>
      <c r="N45" s="539"/>
      <c r="O45" s="539"/>
      <c r="P45" s="539"/>
      <c r="Q45" s="539"/>
      <c r="R45" s="539"/>
    </row>
    <row r="46" spans="1:30" s="101" customFormat="1" ht="4.1500000000000004" customHeight="1" x14ac:dyDescent="0.25">
      <c r="A46" s="540"/>
      <c r="B46" s="540"/>
      <c r="C46" s="540"/>
      <c r="D46" s="540"/>
      <c r="E46" s="540"/>
      <c r="F46" s="540"/>
      <c r="G46" s="540"/>
      <c r="H46" s="540"/>
      <c r="I46" s="540"/>
      <c r="J46" s="540"/>
      <c r="K46" s="540"/>
      <c r="L46" s="540"/>
      <c r="M46" s="99"/>
      <c r="N46" s="540"/>
      <c r="O46" s="540"/>
      <c r="P46" s="540"/>
      <c r="Q46" s="540"/>
      <c r="R46" s="540"/>
    </row>
    <row r="47" spans="1:30" s="101" customFormat="1" ht="15" customHeight="1" x14ac:dyDescent="0.25">
      <c r="A47" s="547" t="s">
        <v>174</v>
      </c>
      <c r="B47" s="539"/>
      <c r="C47" s="539"/>
      <c r="D47" s="539"/>
      <c r="E47" s="539"/>
      <c r="F47" s="539"/>
      <c r="G47" s="539"/>
      <c r="H47" s="539"/>
      <c r="I47" s="539"/>
      <c r="J47" s="539"/>
      <c r="K47" s="539"/>
      <c r="L47" s="539"/>
      <c r="M47" s="539"/>
      <c r="N47" s="539"/>
      <c r="O47" s="539"/>
      <c r="P47" s="539"/>
      <c r="Q47" s="539"/>
      <c r="R47" s="539"/>
    </row>
    <row r="48" spans="1:30" s="105" customFormat="1" ht="13.9" customHeight="1" x14ac:dyDescent="0.25">
      <c r="A48" s="550" t="s">
        <v>175</v>
      </c>
      <c r="B48" s="550"/>
      <c r="C48" s="550"/>
      <c r="D48" s="550"/>
      <c r="E48" s="550"/>
      <c r="F48" s="550"/>
      <c r="G48" s="550"/>
      <c r="H48" s="550"/>
      <c r="I48" s="550"/>
      <c r="J48" s="550"/>
      <c r="K48" s="550"/>
      <c r="L48" s="550"/>
      <c r="M48" s="539"/>
      <c r="N48" s="539"/>
      <c r="O48" s="539"/>
      <c r="P48" s="539"/>
      <c r="Q48" s="539"/>
      <c r="R48" s="539"/>
      <c r="T48" s="101"/>
      <c r="U48" s="101"/>
      <c r="V48" s="101"/>
      <c r="W48" s="101"/>
      <c r="X48" s="101"/>
      <c r="Y48" s="101"/>
      <c r="Z48" s="101"/>
      <c r="AA48" s="101"/>
      <c r="AB48" s="101"/>
      <c r="AC48" s="101"/>
      <c r="AD48" s="101"/>
    </row>
    <row r="49" spans="1:30" s="105" customFormat="1" ht="15" customHeight="1" x14ac:dyDescent="0.25">
      <c r="A49" s="546" t="s">
        <v>176</v>
      </c>
      <c r="B49" s="546"/>
      <c r="C49" s="546"/>
      <c r="D49" s="546"/>
      <c r="E49" s="546"/>
      <c r="F49" s="546"/>
      <c r="G49" s="546"/>
      <c r="H49" s="546"/>
      <c r="I49" s="546"/>
      <c r="J49" s="546"/>
      <c r="K49" s="546"/>
      <c r="L49" s="546"/>
      <c r="M49" s="315"/>
      <c r="N49" s="315"/>
      <c r="O49" s="315"/>
      <c r="P49" s="315"/>
      <c r="Q49" s="315"/>
      <c r="R49" s="315"/>
      <c r="T49" s="101"/>
      <c r="U49" s="101"/>
      <c r="V49" s="101"/>
      <c r="W49" s="101"/>
      <c r="X49" s="101"/>
      <c r="Y49" s="101"/>
      <c r="Z49" s="101"/>
      <c r="AA49" s="101"/>
      <c r="AB49" s="101"/>
      <c r="AC49" s="101"/>
      <c r="AD49" s="101"/>
    </row>
    <row r="50" spans="1:30" s="105" customFormat="1" ht="30.75" customHeight="1" x14ac:dyDescent="0.25">
      <c r="A50" s="550" t="s">
        <v>398</v>
      </c>
      <c r="B50" s="550"/>
      <c r="C50" s="550"/>
      <c r="D50" s="550"/>
      <c r="E50" s="550"/>
      <c r="F50" s="550"/>
      <c r="G50" s="550"/>
      <c r="H50" s="550"/>
      <c r="I50" s="550"/>
      <c r="J50" s="550"/>
      <c r="K50" s="550"/>
      <c r="L50" s="550"/>
      <c r="M50" s="539"/>
      <c r="N50" s="539"/>
      <c r="O50" s="539"/>
      <c r="P50" s="539"/>
      <c r="Q50" s="539"/>
      <c r="R50" s="539"/>
      <c r="T50" s="101"/>
      <c r="U50" s="101"/>
      <c r="V50" s="101"/>
      <c r="W50" s="101"/>
      <c r="X50" s="101"/>
      <c r="Y50" s="101"/>
      <c r="Z50" s="101"/>
      <c r="AA50" s="101"/>
      <c r="AB50" s="101"/>
      <c r="AC50" s="101"/>
      <c r="AD50" s="101"/>
    </row>
    <row r="51" spans="1:30" s="105" customFormat="1" ht="15" x14ac:dyDescent="0.25">
      <c r="A51" s="550" t="s">
        <v>419</v>
      </c>
      <c r="B51" s="550"/>
      <c r="C51" s="550"/>
      <c r="D51" s="550"/>
      <c r="E51" s="550"/>
      <c r="F51" s="550"/>
      <c r="G51" s="550"/>
      <c r="H51" s="550"/>
      <c r="I51" s="550"/>
      <c r="J51" s="550"/>
      <c r="K51" s="550"/>
      <c r="L51" s="550"/>
      <c r="M51" s="539"/>
      <c r="N51" s="539"/>
      <c r="O51" s="539"/>
      <c r="P51" s="539"/>
      <c r="Q51" s="539"/>
      <c r="R51" s="539"/>
      <c r="T51" s="101"/>
      <c r="U51" s="101"/>
      <c r="V51" s="101"/>
      <c r="W51" s="101"/>
      <c r="X51" s="101"/>
      <c r="Y51" s="101"/>
      <c r="Z51" s="101"/>
      <c r="AA51" s="101"/>
      <c r="AB51" s="101"/>
      <c r="AC51" s="101"/>
      <c r="AD51" s="101"/>
    </row>
    <row r="52" spans="1:30" s="101" customFormat="1" ht="4.1500000000000004" customHeight="1" x14ac:dyDescent="0.25">
      <c r="A52" s="540"/>
      <c r="B52" s="540"/>
      <c r="C52" s="540"/>
      <c r="D52" s="540"/>
      <c r="E52" s="540"/>
      <c r="F52" s="540"/>
      <c r="G52" s="540"/>
      <c r="H52" s="540"/>
      <c r="I52" s="540"/>
      <c r="J52" s="540"/>
      <c r="K52" s="540"/>
      <c r="L52" s="540"/>
      <c r="M52" s="99"/>
      <c r="N52" s="540"/>
      <c r="O52" s="540"/>
      <c r="P52" s="540"/>
      <c r="Q52" s="540"/>
      <c r="R52" s="540"/>
    </row>
    <row r="53" spans="1:30" s="101" customFormat="1" ht="15" customHeight="1" x14ac:dyDescent="0.25">
      <c r="A53" s="547" t="s">
        <v>177</v>
      </c>
      <c r="B53" s="556"/>
      <c r="C53" s="556"/>
      <c r="D53" s="556"/>
      <c r="E53" s="556"/>
      <c r="F53" s="556"/>
      <c r="G53" s="556"/>
      <c r="H53" s="556"/>
      <c r="I53" s="556"/>
      <c r="J53" s="556"/>
      <c r="K53" s="556"/>
      <c r="L53" s="556"/>
      <c r="M53" s="556"/>
      <c r="N53" s="556"/>
      <c r="O53" s="556"/>
      <c r="P53" s="556"/>
      <c r="Q53" s="556"/>
      <c r="R53" s="556"/>
    </row>
    <row r="54" spans="1:30" s="101" customFormat="1" ht="15" customHeight="1" x14ac:dyDescent="0.25">
      <c r="A54" s="555" t="s">
        <v>418</v>
      </c>
      <c r="B54" s="531"/>
      <c r="C54" s="531"/>
      <c r="D54" s="531"/>
      <c r="E54" s="531"/>
      <c r="F54" s="531"/>
      <c r="G54" s="531"/>
      <c r="H54" s="531"/>
      <c r="I54" s="531"/>
      <c r="J54" s="531"/>
      <c r="K54" s="531"/>
      <c r="L54" s="531"/>
      <c r="M54" s="531"/>
      <c r="N54" s="531"/>
      <c r="O54" s="531"/>
      <c r="P54" s="531"/>
      <c r="Q54" s="531"/>
      <c r="R54" s="531"/>
    </row>
    <row r="55" spans="1:30" s="101" customFormat="1" ht="15" customHeight="1" x14ac:dyDescent="0.25">
      <c r="A55" s="555" t="s">
        <v>399</v>
      </c>
      <c r="B55" s="531"/>
      <c r="C55" s="531"/>
      <c r="D55" s="531"/>
      <c r="E55" s="531"/>
      <c r="F55" s="531"/>
      <c r="G55" s="531"/>
      <c r="H55" s="531"/>
      <c r="I55" s="531"/>
      <c r="J55" s="531"/>
      <c r="K55" s="531"/>
      <c r="L55" s="531"/>
      <c r="M55" s="531"/>
      <c r="N55" s="531"/>
      <c r="O55" s="531"/>
      <c r="P55" s="531"/>
      <c r="Q55" s="531"/>
      <c r="R55" s="531"/>
    </row>
    <row r="56" spans="1:30" s="101" customFormat="1" ht="15" customHeight="1" x14ac:dyDescent="0.25">
      <c r="A56" s="555" t="s">
        <v>178</v>
      </c>
      <c r="B56" s="531"/>
      <c r="C56" s="531"/>
      <c r="D56" s="531"/>
      <c r="E56" s="531"/>
      <c r="F56" s="531"/>
      <c r="G56" s="531"/>
      <c r="H56" s="531"/>
      <c r="I56" s="531"/>
      <c r="J56" s="531"/>
      <c r="K56" s="531"/>
      <c r="L56" s="531"/>
      <c r="M56" s="531"/>
      <c r="N56" s="531"/>
      <c r="O56" s="531"/>
      <c r="P56" s="531"/>
      <c r="Q56" s="531"/>
      <c r="R56" s="531"/>
    </row>
    <row r="57" spans="1:30" s="101" customFormat="1" ht="33" customHeight="1" x14ac:dyDescent="0.25">
      <c r="A57" s="555" t="s">
        <v>397</v>
      </c>
      <c r="B57" s="531"/>
      <c r="C57" s="531"/>
      <c r="D57" s="531"/>
      <c r="E57" s="531"/>
      <c r="F57" s="531"/>
      <c r="G57" s="531"/>
      <c r="H57" s="531"/>
      <c r="I57" s="531"/>
      <c r="J57" s="531"/>
      <c r="K57" s="531"/>
      <c r="L57" s="531"/>
      <c r="M57" s="531"/>
      <c r="N57" s="531"/>
      <c r="O57" s="531"/>
      <c r="P57" s="531"/>
      <c r="Q57" s="531"/>
      <c r="R57" s="531"/>
    </row>
    <row r="58" spans="1:30" s="101" customFormat="1" ht="15" customHeight="1" x14ac:dyDescent="0.25">
      <c r="A58" s="555" t="s">
        <v>179</v>
      </c>
      <c r="B58" s="531"/>
      <c r="C58" s="531"/>
      <c r="D58" s="531"/>
      <c r="E58" s="531"/>
      <c r="F58" s="531"/>
      <c r="G58" s="531"/>
      <c r="H58" s="531"/>
      <c r="I58" s="531"/>
      <c r="J58" s="531"/>
      <c r="K58" s="557"/>
      <c r="L58" s="558"/>
      <c r="M58" s="559"/>
      <c r="N58" s="560"/>
      <c r="O58" s="560"/>
      <c r="P58" s="560"/>
      <c r="Q58" s="560"/>
      <c r="R58" s="560"/>
    </row>
    <row r="59" spans="1:30" s="101" customFormat="1" ht="15.75" x14ac:dyDescent="0.25">
      <c r="A59" s="555" t="s">
        <v>180</v>
      </c>
      <c r="B59" s="531"/>
      <c r="C59" s="531"/>
      <c r="D59" s="531"/>
      <c r="E59" s="531"/>
      <c r="F59" s="531"/>
      <c r="G59" s="531"/>
      <c r="H59" s="531"/>
      <c r="I59" s="531"/>
      <c r="J59" s="531"/>
      <c r="K59" s="557"/>
      <c r="L59" s="558"/>
      <c r="M59" s="559"/>
      <c r="N59" s="560"/>
      <c r="O59" s="560"/>
      <c r="P59" s="560"/>
      <c r="Q59" s="560"/>
      <c r="R59" s="560"/>
    </row>
    <row r="60" spans="1:30" s="101" customFormat="1" ht="4.1500000000000004" customHeight="1" x14ac:dyDescent="0.25">
      <c r="A60" s="540"/>
      <c r="B60" s="540"/>
      <c r="C60" s="540"/>
      <c r="D60" s="540"/>
      <c r="E60" s="540"/>
      <c r="F60" s="540"/>
      <c r="G60" s="540"/>
      <c r="H60" s="540"/>
      <c r="I60" s="540"/>
      <c r="J60" s="540"/>
      <c r="K60" s="540"/>
      <c r="L60" s="540"/>
      <c r="M60" s="99"/>
      <c r="N60" s="540"/>
      <c r="O60" s="540"/>
      <c r="P60" s="540"/>
      <c r="Q60" s="540"/>
      <c r="R60" s="540"/>
    </row>
    <row r="61" spans="1:30" ht="24.95" customHeight="1" x14ac:dyDescent="0.25">
      <c r="A61" s="571" t="s">
        <v>181</v>
      </c>
      <c r="B61" s="479"/>
      <c r="C61" s="479"/>
      <c r="D61" s="540"/>
      <c r="E61" s="545"/>
      <c r="F61" s="545"/>
      <c r="G61" s="545"/>
      <c r="H61" s="545"/>
      <c r="I61" s="545"/>
      <c r="J61" s="545"/>
      <c r="K61" s="545"/>
      <c r="L61" s="545"/>
      <c r="M61" s="571" t="s">
        <v>182</v>
      </c>
      <c r="N61" s="479"/>
      <c r="O61" s="479"/>
      <c r="P61" s="539"/>
      <c r="Q61" s="545"/>
      <c r="R61" s="545"/>
    </row>
    <row r="62" spans="1:30" ht="24.95" customHeight="1" thickBot="1" x14ac:dyDescent="0.3">
      <c r="A62" s="479"/>
      <c r="B62" s="479"/>
      <c r="C62" s="479"/>
      <c r="D62" s="545"/>
      <c r="E62" s="545"/>
      <c r="F62" s="545"/>
      <c r="G62" s="545"/>
      <c r="H62" s="545"/>
      <c r="I62" s="545"/>
      <c r="J62" s="545"/>
      <c r="K62" s="545"/>
      <c r="L62" s="545"/>
      <c r="M62" s="479"/>
      <c r="N62" s="479"/>
      <c r="O62" s="479"/>
      <c r="P62" s="545"/>
      <c r="Q62" s="545"/>
      <c r="R62" s="545"/>
    </row>
    <row r="63" spans="1:30" s="108" customFormat="1" ht="20.25" thickTop="1" thickBot="1" x14ac:dyDescent="0.35">
      <c r="A63" s="572" t="s">
        <v>183</v>
      </c>
      <c r="B63" s="573"/>
      <c r="C63" s="573"/>
      <c r="D63" s="573"/>
      <c r="E63" s="573"/>
      <c r="F63" s="573"/>
      <c r="G63" s="573"/>
      <c r="H63" s="573"/>
      <c r="I63" s="573"/>
      <c r="J63" s="574"/>
      <c r="K63" s="574"/>
      <c r="L63" s="574"/>
      <c r="M63" s="574"/>
      <c r="N63" s="574"/>
      <c r="O63" s="574"/>
      <c r="P63" s="574"/>
      <c r="Q63" s="574"/>
      <c r="R63" s="575"/>
      <c r="V63" s="209" t="s">
        <v>183</v>
      </c>
    </row>
    <row r="64" spans="1:30" s="108" customFormat="1" ht="19.5" thickBot="1" x14ac:dyDescent="0.35">
      <c r="A64" s="561" t="s">
        <v>394</v>
      </c>
      <c r="B64" s="562"/>
      <c r="C64" s="562"/>
      <c r="D64" s="562"/>
      <c r="E64" s="562"/>
      <c r="F64" s="562"/>
      <c r="G64" s="562"/>
      <c r="H64" s="562"/>
      <c r="I64" s="562"/>
      <c r="J64" s="563"/>
      <c r="K64" s="563"/>
      <c r="L64" s="563"/>
      <c r="M64" s="563"/>
      <c r="N64" s="563"/>
      <c r="O64" s="563"/>
      <c r="P64" s="563"/>
      <c r="Q64" s="563"/>
      <c r="R64" s="257">
        <f>RECAP!G53</f>
        <v>0</v>
      </c>
      <c r="V64" s="209" t="s">
        <v>401</v>
      </c>
    </row>
    <row r="65" spans="1:18" s="108" customFormat="1" ht="19.5" hidden="1" thickBot="1" x14ac:dyDescent="0.35">
      <c r="A65" s="561" t="s">
        <v>76</v>
      </c>
      <c r="B65" s="570"/>
      <c r="C65" s="570"/>
      <c r="D65" s="570"/>
      <c r="E65" s="570"/>
      <c r="F65" s="570"/>
      <c r="G65" s="570"/>
      <c r="H65" s="570"/>
      <c r="I65" s="570"/>
      <c r="J65" s="570"/>
      <c r="K65" s="570"/>
      <c r="L65" s="570"/>
      <c r="M65" s="570"/>
      <c r="N65" s="570"/>
      <c r="O65" s="570"/>
      <c r="P65" s="570"/>
      <c r="Q65" s="570"/>
      <c r="R65" s="257">
        <f>'Addtn''l (AKP)'!E36</f>
        <v>0</v>
      </c>
    </row>
    <row r="66" spans="1:18" s="108" customFormat="1" ht="20.25" hidden="1" customHeight="1" thickBot="1" x14ac:dyDescent="0.35">
      <c r="A66" s="561" t="s">
        <v>400</v>
      </c>
      <c r="B66" s="562"/>
      <c r="C66" s="562"/>
      <c r="D66" s="562"/>
      <c r="E66" s="562"/>
      <c r="F66" s="562"/>
      <c r="G66" s="562"/>
      <c r="H66" s="562"/>
      <c r="I66" s="562"/>
      <c r="J66" s="563"/>
      <c r="K66" s="563"/>
      <c r="L66" s="563"/>
      <c r="M66" s="563"/>
      <c r="N66" s="563"/>
      <c r="O66" s="563"/>
      <c r="P66" s="563"/>
      <c r="Q66" s="563"/>
      <c r="R66" s="257">
        <f>SUM(R64:R65)</f>
        <v>0</v>
      </c>
    </row>
    <row r="67" spans="1:18" ht="42.75" customHeight="1" thickBot="1" x14ac:dyDescent="0.35">
      <c r="A67" s="564" t="s">
        <v>184</v>
      </c>
      <c r="B67" s="565"/>
      <c r="C67" s="565"/>
      <c r="D67" s="565"/>
      <c r="E67" s="565"/>
      <c r="F67" s="565"/>
      <c r="G67" s="565"/>
      <c r="H67" s="565"/>
      <c r="I67" s="565"/>
      <c r="J67" s="565"/>
      <c r="K67" s="566"/>
      <c r="L67" s="566"/>
      <c r="M67" s="566"/>
      <c r="N67" s="566"/>
      <c r="O67" s="566"/>
      <c r="P67" s="566"/>
      <c r="Q67" s="566"/>
      <c r="R67" s="567"/>
    </row>
    <row r="68" spans="1:18" ht="16.5" customHeight="1" thickTop="1" x14ac:dyDescent="0.25">
      <c r="A68" s="568"/>
      <c r="B68" s="569"/>
      <c r="C68" s="569"/>
      <c r="D68" s="569"/>
      <c r="E68" s="569"/>
      <c r="F68" s="569"/>
      <c r="G68" s="569"/>
      <c r="H68" s="569"/>
      <c r="I68" s="569"/>
      <c r="J68" s="569"/>
      <c r="K68" s="569"/>
      <c r="L68" s="569"/>
      <c r="M68" s="569"/>
      <c r="N68" s="569"/>
      <c r="O68" s="569"/>
      <c r="P68" s="569"/>
      <c r="Q68" s="569"/>
      <c r="R68" s="569"/>
    </row>
    <row r="69" spans="1:18" ht="14.45" customHeight="1" x14ac:dyDescent="0.25">
      <c r="A69" s="583" t="s">
        <v>185</v>
      </c>
      <c r="B69" s="539"/>
      <c r="C69" s="539"/>
      <c r="D69" s="539"/>
      <c r="E69" s="539"/>
      <c r="F69" s="539"/>
      <c r="G69" s="258">
        <f>RECAP!B11</f>
        <v>0</v>
      </c>
      <c r="H69" s="586" t="s">
        <v>186</v>
      </c>
      <c r="I69" s="545"/>
      <c r="J69" s="110"/>
      <c r="R69" s="99" t="s">
        <v>187</v>
      </c>
    </row>
    <row r="70" spans="1:18" ht="14.45" customHeight="1" x14ac:dyDescent="0.25">
      <c r="A70" s="583" t="s">
        <v>188</v>
      </c>
      <c r="B70" s="545"/>
      <c r="C70" s="545"/>
      <c r="D70" s="545"/>
      <c r="E70" s="545"/>
      <c r="F70" s="545"/>
      <c r="G70" s="259">
        <f>'J&amp;D'!B8</f>
        <v>0</v>
      </c>
      <c r="H70" s="109" t="s">
        <v>189</v>
      </c>
      <c r="I70" s="259">
        <f>'J&amp;D'!C8</f>
        <v>0</v>
      </c>
      <c r="J70" s="586" t="s">
        <v>186</v>
      </c>
      <c r="K70" s="545"/>
      <c r="R70" s="101">
        <f>RECAP!K3</f>
        <v>0</v>
      </c>
    </row>
    <row r="71" spans="1:18" ht="19.5" customHeight="1" x14ac:dyDescent="0.25">
      <c r="A71" s="583" t="s">
        <v>191</v>
      </c>
      <c r="B71" s="539"/>
      <c r="C71" s="539"/>
      <c r="D71" s="539"/>
      <c r="E71" s="539"/>
      <c r="F71" s="539"/>
      <c r="G71" s="260">
        <f>'J&amp;D'!B17</f>
        <v>0</v>
      </c>
      <c r="H71" s="588" t="s">
        <v>192</v>
      </c>
      <c r="I71" s="539"/>
      <c r="J71" s="110"/>
      <c r="O71" s="584" t="s">
        <v>190</v>
      </c>
      <c r="P71" s="585"/>
      <c r="Q71" s="585"/>
      <c r="R71" s="261" t="str">
        <f>RECAP!I4</f>
        <v>E-Mail</v>
      </c>
    </row>
    <row r="72" spans="1:18" s="111" customFormat="1" ht="19.5" customHeight="1" x14ac:dyDescent="0.3">
      <c r="A72" s="579" t="s">
        <v>193</v>
      </c>
      <c r="B72" s="579"/>
      <c r="C72" s="579"/>
      <c r="D72" s="579"/>
      <c r="E72" s="579"/>
      <c r="F72" s="579"/>
      <c r="G72" s="579"/>
      <c r="H72" s="579"/>
      <c r="I72" s="579"/>
      <c r="J72" s="579"/>
      <c r="K72" s="579"/>
      <c r="L72" s="579"/>
      <c r="M72" s="579"/>
      <c r="N72" s="579"/>
      <c r="O72" s="579"/>
      <c r="P72" s="579"/>
      <c r="Q72" s="579"/>
      <c r="R72" s="579"/>
    </row>
    <row r="73" spans="1:18" s="117" customFormat="1" ht="33" customHeight="1" x14ac:dyDescent="0.25">
      <c r="A73" s="580" t="s">
        <v>199</v>
      </c>
      <c r="B73" s="580"/>
      <c r="C73" s="580"/>
      <c r="D73" s="580"/>
      <c r="E73" s="580"/>
      <c r="F73" s="580"/>
      <c r="G73" s="580"/>
      <c r="H73" s="580"/>
      <c r="I73" s="580"/>
      <c r="J73" s="580"/>
      <c r="K73" s="580"/>
      <c r="L73" s="580"/>
      <c r="M73" s="580"/>
      <c r="N73" s="580"/>
      <c r="O73" s="580"/>
      <c r="P73" s="580"/>
      <c r="Q73" s="580"/>
      <c r="R73" s="580"/>
    </row>
    <row r="74" spans="1:18" s="117" customFormat="1" ht="7.5" customHeight="1" x14ac:dyDescent="0.25">
      <c r="A74" s="580"/>
      <c r="B74" s="589"/>
      <c r="C74" s="589"/>
      <c r="D74" s="589"/>
      <c r="E74" s="589"/>
      <c r="F74" s="589"/>
      <c r="G74" s="589"/>
      <c r="H74" s="589"/>
      <c r="I74" s="589"/>
      <c r="J74" s="589"/>
      <c r="K74" s="589"/>
      <c r="L74" s="589"/>
      <c r="M74" s="589"/>
      <c r="N74" s="589"/>
      <c r="O74" s="589"/>
      <c r="P74" s="589"/>
      <c r="Q74" s="589"/>
      <c r="R74" s="589"/>
    </row>
    <row r="75" spans="1:18" s="117" customFormat="1" ht="12.75" customHeight="1" x14ac:dyDescent="0.25">
      <c r="A75" s="581" t="s">
        <v>200</v>
      </c>
      <c r="B75" s="581"/>
      <c r="C75" s="581"/>
      <c r="D75" s="581"/>
      <c r="E75" s="581"/>
      <c r="F75" s="581"/>
      <c r="G75" s="581"/>
      <c r="H75" s="581"/>
      <c r="I75" s="581"/>
      <c r="J75" s="581"/>
      <c r="K75" s="581"/>
      <c r="L75" s="581"/>
      <c r="M75" s="581"/>
      <c r="N75" s="581"/>
      <c r="O75" s="581"/>
      <c r="P75" s="581"/>
      <c r="Q75" s="581"/>
      <c r="R75" s="581"/>
    </row>
    <row r="76" spans="1:18" s="117" customFormat="1" ht="21.2" customHeight="1" x14ac:dyDescent="0.2">
      <c r="A76" s="582" t="s">
        <v>201</v>
      </c>
      <c r="B76" s="582"/>
      <c r="C76" s="582"/>
      <c r="D76" s="582"/>
      <c r="E76" s="582"/>
      <c r="F76" s="582"/>
      <c r="G76" s="582"/>
      <c r="H76" s="582"/>
      <c r="I76" s="582"/>
      <c r="J76" s="582"/>
      <c r="K76" s="582"/>
      <c r="L76" s="582"/>
      <c r="M76" s="582"/>
      <c r="N76" s="582"/>
      <c r="O76" s="582"/>
      <c r="P76" s="582"/>
      <c r="Q76" s="582"/>
      <c r="R76" s="582"/>
    </row>
    <row r="77" spans="1:18" s="117" customFormat="1" ht="24" customHeight="1" x14ac:dyDescent="0.2">
      <c r="A77" s="118">
        <v>1.1000000000000001</v>
      </c>
      <c r="B77" s="587" t="s">
        <v>202</v>
      </c>
      <c r="C77" s="587"/>
      <c r="D77" s="587"/>
      <c r="E77" s="587"/>
      <c r="F77" s="587"/>
      <c r="G77" s="587"/>
      <c r="H77" s="587"/>
      <c r="I77" s="587"/>
      <c r="J77" s="587"/>
      <c r="K77" s="587"/>
      <c r="L77" s="587"/>
      <c r="M77" s="587"/>
      <c r="N77" s="587"/>
      <c r="O77" s="587"/>
      <c r="P77" s="587"/>
      <c r="Q77" s="587"/>
      <c r="R77" s="587"/>
    </row>
    <row r="78" spans="1:18" s="117" customFormat="1" ht="25.5" customHeight="1" x14ac:dyDescent="0.2">
      <c r="A78" s="118">
        <v>1.2</v>
      </c>
      <c r="B78" s="578" t="s">
        <v>203</v>
      </c>
      <c r="C78" s="578"/>
      <c r="D78" s="578"/>
      <c r="E78" s="578"/>
      <c r="F78" s="578"/>
      <c r="G78" s="578"/>
      <c r="H78" s="578"/>
      <c r="I78" s="578"/>
      <c r="J78" s="578"/>
      <c r="K78" s="578"/>
      <c r="L78" s="578"/>
      <c r="M78" s="578"/>
      <c r="N78" s="578"/>
      <c r="O78" s="578"/>
      <c r="P78" s="578"/>
      <c r="Q78" s="578"/>
      <c r="R78" s="578"/>
    </row>
    <row r="79" spans="1:18" s="117" customFormat="1" ht="35.25" customHeight="1" x14ac:dyDescent="0.2">
      <c r="A79" s="576" t="s">
        <v>204</v>
      </c>
      <c r="B79" s="577"/>
      <c r="C79" s="578" t="s">
        <v>205</v>
      </c>
      <c r="D79" s="578"/>
      <c r="E79" s="578"/>
      <c r="F79" s="578"/>
      <c r="G79" s="578"/>
      <c r="H79" s="578"/>
      <c r="I79" s="578"/>
      <c r="J79" s="578"/>
      <c r="K79" s="578"/>
      <c r="L79" s="578"/>
      <c r="M79" s="578"/>
      <c r="N79" s="578"/>
      <c r="O79" s="578"/>
      <c r="P79" s="578"/>
      <c r="Q79" s="578"/>
      <c r="R79" s="578"/>
    </row>
    <row r="80" spans="1:18" s="117" customFormat="1" ht="38.25" customHeight="1" x14ac:dyDescent="0.2">
      <c r="A80" s="576" t="s">
        <v>206</v>
      </c>
      <c r="B80" s="577"/>
      <c r="C80" s="578" t="s">
        <v>207</v>
      </c>
      <c r="D80" s="578"/>
      <c r="E80" s="578"/>
      <c r="F80" s="578"/>
      <c r="G80" s="578"/>
      <c r="H80" s="578"/>
      <c r="I80" s="578"/>
      <c r="J80" s="578"/>
      <c r="K80" s="578"/>
      <c r="L80" s="578"/>
      <c r="M80" s="578"/>
      <c r="N80" s="578"/>
      <c r="O80" s="578"/>
      <c r="P80" s="578"/>
      <c r="Q80" s="578"/>
      <c r="R80" s="578"/>
    </row>
    <row r="81" spans="1:18" s="117" customFormat="1" ht="42" customHeight="1" x14ac:dyDescent="0.2">
      <c r="A81" s="576" t="s">
        <v>208</v>
      </c>
      <c r="B81" s="577"/>
      <c r="C81" s="578" t="s">
        <v>209</v>
      </c>
      <c r="D81" s="578"/>
      <c r="E81" s="578"/>
      <c r="F81" s="578"/>
      <c r="G81" s="578"/>
      <c r="H81" s="578"/>
      <c r="I81" s="578"/>
      <c r="J81" s="578"/>
      <c r="K81" s="578"/>
      <c r="L81" s="578"/>
      <c r="M81" s="578"/>
      <c r="N81" s="578"/>
      <c r="O81" s="578"/>
      <c r="P81" s="578"/>
      <c r="Q81" s="578"/>
      <c r="R81" s="578"/>
    </row>
    <row r="82" spans="1:18" s="117" customFormat="1" ht="39.75" customHeight="1" x14ac:dyDescent="0.2">
      <c r="A82" s="120">
        <v>1.3</v>
      </c>
      <c r="B82" s="578" t="s">
        <v>210</v>
      </c>
      <c r="C82" s="578"/>
      <c r="D82" s="578"/>
      <c r="E82" s="578"/>
      <c r="F82" s="578"/>
      <c r="G82" s="578"/>
      <c r="H82" s="578"/>
      <c r="I82" s="578"/>
      <c r="J82" s="578"/>
      <c r="K82" s="578"/>
      <c r="L82" s="578"/>
      <c r="M82" s="578"/>
      <c r="N82" s="578"/>
      <c r="O82" s="578"/>
      <c r="P82" s="578"/>
      <c r="Q82" s="578"/>
      <c r="R82" s="578"/>
    </row>
    <row r="83" spans="1:18" s="117" customFormat="1" ht="21.75" customHeight="1" x14ac:dyDescent="0.2">
      <c r="A83" s="576" t="s">
        <v>211</v>
      </c>
      <c r="B83" s="576"/>
      <c r="C83" s="590" t="s">
        <v>212</v>
      </c>
      <c r="D83" s="590"/>
      <c r="E83" s="590"/>
      <c r="F83" s="590"/>
      <c r="G83" s="590"/>
      <c r="H83" s="590"/>
      <c r="I83" s="590"/>
      <c r="J83" s="590"/>
      <c r="K83" s="590"/>
      <c r="L83" s="590"/>
      <c r="M83" s="590"/>
      <c r="N83" s="590"/>
      <c r="O83" s="590"/>
      <c r="P83" s="590"/>
      <c r="Q83" s="590"/>
      <c r="R83" s="590"/>
    </row>
    <row r="84" spans="1:18" s="117" customFormat="1" ht="15" customHeight="1" x14ac:dyDescent="0.2">
      <c r="A84" s="576" t="s">
        <v>213</v>
      </c>
      <c r="B84" s="576"/>
      <c r="C84" s="578" t="s">
        <v>214</v>
      </c>
      <c r="D84" s="578"/>
      <c r="E84" s="578"/>
      <c r="F84" s="578"/>
      <c r="G84" s="578"/>
      <c r="H84" s="578"/>
      <c r="I84" s="578"/>
      <c r="J84" s="578"/>
      <c r="K84" s="578"/>
      <c r="L84" s="578"/>
      <c r="M84" s="578"/>
      <c r="N84" s="578"/>
      <c r="O84" s="578"/>
      <c r="P84" s="578"/>
      <c r="Q84" s="578"/>
      <c r="R84" s="578"/>
    </row>
    <row r="85" spans="1:18" s="117" customFormat="1" ht="15" customHeight="1" x14ac:dyDescent="0.2">
      <c r="A85" s="576" t="s">
        <v>215</v>
      </c>
      <c r="B85" s="576"/>
      <c r="C85" s="578" t="s">
        <v>216</v>
      </c>
      <c r="D85" s="578"/>
      <c r="E85" s="578"/>
      <c r="F85" s="578"/>
      <c r="G85" s="578"/>
      <c r="H85" s="578"/>
      <c r="I85" s="578"/>
      <c r="J85" s="578"/>
      <c r="K85" s="578"/>
      <c r="L85" s="578"/>
      <c r="M85" s="578"/>
      <c r="N85" s="578"/>
      <c r="O85" s="578"/>
      <c r="P85" s="578"/>
      <c r="Q85" s="578"/>
      <c r="R85" s="578"/>
    </row>
    <row r="86" spans="1:18" s="117" customFormat="1" ht="39" customHeight="1" x14ac:dyDescent="0.2">
      <c r="A86" s="576" t="s">
        <v>217</v>
      </c>
      <c r="B86" s="576"/>
      <c r="C86" s="578" t="s">
        <v>218</v>
      </c>
      <c r="D86" s="578"/>
      <c r="E86" s="578"/>
      <c r="F86" s="578"/>
      <c r="G86" s="578"/>
      <c r="H86" s="578"/>
      <c r="I86" s="578"/>
      <c r="J86" s="578"/>
      <c r="K86" s="578"/>
      <c r="L86" s="578"/>
      <c r="M86" s="578"/>
      <c r="N86" s="578"/>
      <c r="O86" s="578"/>
      <c r="P86" s="578"/>
      <c r="Q86" s="578"/>
      <c r="R86" s="578"/>
    </row>
    <row r="87" spans="1:18" s="117" customFormat="1" ht="32.25" customHeight="1" x14ac:dyDescent="0.2">
      <c r="A87" s="120">
        <v>1.4</v>
      </c>
      <c r="B87" s="578" t="s">
        <v>219</v>
      </c>
      <c r="C87" s="578"/>
      <c r="D87" s="578"/>
      <c r="E87" s="578"/>
      <c r="F87" s="578"/>
      <c r="G87" s="578"/>
      <c r="H87" s="578"/>
      <c r="I87" s="578"/>
      <c r="J87" s="578"/>
      <c r="K87" s="578"/>
      <c r="L87" s="578"/>
      <c r="M87" s="578"/>
      <c r="N87" s="578"/>
      <c r="O87" s="578"/>
      <c r="P87" s="578"/>
      <c r="Q87" s="578"/>
      <c r="R87" s="578"/>
    </row>
    <row r="88" spans="1:18" s="117" customFormat="1" ht="36" customHeight="1" x14ac:dyDescent="0.2">
      <c r="A88" s="120">
        <v>1.5</v>
      </c>
      <c r="B88" s="578" t="s">
        <v>220</v>
      </c>
      <c r="C88" s="578"/>
      <c r="D88" s="578"/>
      <c r="E88" s="578"/>
      <c r="F88" s="578"/>
      <c r="G88" s="578"/>
      <c r="H88" s="578"/>
      <c r="I88" s="578"/>
      <c r="J88" s="578"/>
      <c r="K88" s="578"/>
      <c r="L88" s="578"/>
      <c r="M88" s="578"/>
      <c r="N88" s="578"/>
      <c r="O88" s="578"/>
      <c r="P88" s="578"/>
      <c r="Q88" s="578"/>
      <c r="R88" s="578"/>
    </row>
    <row r="89" spans="1:18" s="117" customFormat="1" ht="26.25" customHeight="1" x14ac:dyDescent="0.2">
      <c r="A89" s="576" t="s">
        <v>221</v>
      </c>
      <c r="B89" s="576"/>
      <c r="C89" s="578" t="s">
        <v>222</v>
      </c>
      <c r="D89" s="578"/>
      <c r="E89" s="578"/>
      <c r="F89" s="578"/>
      <c r="G89" s="578"/>
      <c r="H89" s="578"/>
      <c r="I89" s="578"/>
      <c r="J89" s="578"/>
      <c r="K89" s="578"/>
      <c r="L89" s="578"/>
      <c r="M89" s="578"/>
      <c r="N89" s="578"/>
      <c r="O89" s="578"/>
      <c r="P89" s="578"/>
      <c r="Q89" s="578"/>
      <c r="R89" s="578"/>
    </row>
    <row r="90" spans="1:18" s="117" customFormat="1" ht="83.25" customHeight="1" x14ac:dyDescent="0.2">
      <c r="A90" s="120">
        <v>1.6</v>
      </c>
      <c r="B90" s="578" t="s">
        <v>223</v>
      </c>
      <c r="C90" s="578"/>
      <c r="D90" s="578"/>
      <c r="E90" s="578"/>
      <c r="F90" s="578"/>
      <c r="G90" s="578"/>
      <c r="H90" s="578"/>
      <c r="I90" s="578"/>
      <c r="J90" s="578"/>
      <c r="K90" s="578"/>
      <c r="L90" s="578"/>
      <c r="M90" s="578"/>
      <c r="N90" s="578"/>
      <c r="O90" s="578"/>
      <c r="P90" s="578"/>
      <c r="Q90" s="578"/>
      <c r="R90" s="578"/>
    </row>
    <row r="91" spans="1:18" s="117" customFormat="1" ht="15" customHeight="1" x14ac:dyDescent="0.2">
      <c r="A91" s="118">
        <v>1.7</v>
      </c>
      <c r="B91" s="578" t="s">
        <v>224</v>
      </c>
      <c r="C91" s="578"/>
      <c r="D91" s="578"/>
      <c r="E91" s="578"/>
      <c r="F91" s="578"/>
      <c r="G91" s="578"/>
      <c r="H91" s="578"/>
      <c r="I91" s="578"/>
      <c r="J91" s="578"/>
      <c r="K91" s="578"/>
      <c r="L91" s="578"/>
      <c r="M91" s="578"/>
      <c r="N91" s="578"/>
      <c r="O91" s="578"/>
      <c r="P91" s="578"/>
      <c r="Q91" s="578"/>
      <c r="R91" s="578"/>
    </row>
    <row r="92" spans="1:18" s="117" customFormat="1" ht="12.75" customHeight="1" x14ac:dyDescent="0.2">
      <c r="A92" s="582" t="s">
        <v>225</v>
      </c>
      <c r="B92" s="582"/>
      <c r="C92" s="582"/>
      <c r="D92" s="582"/>
      <c r="E92" s="582"/>
      <c r="F92" s="582"/>
      <c r="G92" s="582"/>
      <c r="H92" s="582"/>
      <c r="I92" s="582"/>
      <c r="J92" s="582"/>
      <c r="K92" s="582"/>
      <c r="L92" s="582"/>
      <c r="M92" s="582"/>
      <c r="N92" s="582"/>
      <c r="O92" s="582"/>
      <c r="P92" s="582"/>
      <c r="Q92" s="582"/>
      <c r="R92" s="582"/>
    </row>
    <row r="93" spans="1:18" s="117" customFormat="1" ht="15" customHeight="1" x14ac:dyDescent="0.2">
      <c r="A93" s="118">
        <v>2.1</v>
      </c>
      <c r="B93" s="578" t="s">
        <v>226</v>
      </c>
      <c r="C93" s="578"/>
      <c r="D93" s="578"/>
      <c r="E93" s="578"/>
      <c r="F93" s="578"/>
      <c r="G93" s="578"/>
      <c r="H93" s="578"/>
      <c r="I93" s="578"/>
      <c r="J93" s="578"/>
      <c r="K93" s="578"/>
      <c r="L93" s="578"/>
      <c r="M93" s="578"/>
      <c r="N93" s="578"/>
      <c r="O93" s="578"/>
      <c r="P93" s="578"/>
      <c r="Q93" s="578"/>
      <c r="R93" s="578"/>
    </row>
    <row r="94" spans="1:18" s="117" customFormat="1" ht="15" customHeight="1" x14ac:dyDescent="0.2">
      <c r="A94" s="118">
        <v>2.2000000000000002</v>
      </c>
      <c r="B94" s="578" t="s">
        <v>227</v>
      </c>
      <c r="C94" s="578"/>
      <c r="D94" s="578"/>
      <c r="E94" s="578"/>
      <c r="F94" s="578"/>
      <c r="G94" s="578"/>
      <c r="H94" s="578"/>
      <c r="I94" s="578"/>
      <c r="J94" s="578"/>
      <c r="K94" s="578"/>
      <c r="L94" s="578"/>
      <c r="M94" s="578"/>
      <c r="N94" s="578"/>
      <c r="O94" s="578"/>
      <c r="P94" s="578"/>
      <c r="Q94" s="578"/>
      <c r="R94" s="578"/>
    </row>
    <row r="95" spans="1:18" s="117" customFormat="1" ht="15" customHeight="1" x14ac:dyDescent="0.2">
      <c r="A95" s="118">
        <v>2.2999999999999998</v>
      </c>
      <c r="B95" s="578" t="s">
        <v>228</v>
      </c>
      <c r="C95" s="578"/>
      <c r="D95" s="578"/>
      <c r="E95" s="578"/>
      <c r="F95" s="578"/>
      <c r="G95" s="578"/>
      <c r="H95" s="578"/>
      <c r="I95" s="578"/>
      <c r="J95" s="578"/>
      <c r="K95" s="578"/>
      <c r="L95" s="578"/>
      <c r="M95" s="578"/>
      <c r="N95" s="578"/>
      <c r="O95" s="578"/>
      <c r="P95" s="578"/>
      <c r="Q95" s="578"/>
      <c r="R95" s="578"/>
    </row>
    <row r="96" spans="1:18" s="117" customFormat="1" ht="71.25" customHeight="1" x14ac:dyDescent="0.2">
      <c r="A96" s="118">
        <v>2.4</v>
      </c>
      <c r="B96" s="578" t="s">
        <v>229</v>
      </c>
      <c r="C96" s="578"/>
      <c r="D96" s="578"/>
      <c r="E96" s="578"/>
      <c r="F96" s="578"/>
      <c r="G96" s="578"/>
      <c r="H96" s="578"/>
      <c r="I96" s="578"/>
      <c r="J96" s="578"/>
      <c r="K96" s="578"/>
      <c r="L96" s="578"/>
      <c r="M96" s="578"/>
      <c r="N96" s="578"/>
      <c r="O96" s="578"/>
      <c r="P96" s="578"/>
      <c r="Q96" s="578"/>
      <c r="R96" s="578"/>
    </row>
    <row r="97" spans="1:18" s="117" customFormat="1" ht="15" customHeight="1" x14ac:dyDescent="0.2">
      <c r="A97" s="118">
        <v>2.5</v>
      </c>
      <c r="B97" s="590" t="s">
        <v>230</v>
      </c>
      <c r="C97" s="590"/>
      <c r="D97" s="590"/>
      <c r="E97" s="590"/>
      <c r="F97" s="590"/>
      <c r="G97" s="590"/>
      <c r="H97" s="590"/>
      <c r="I97" s="590"/>
      <c r="J97" s="590"/>
      <c r="K97" s="590"/>
      <c r="L97" s="590"/>
      <c r="M97" s="590"/>
      <c r="N97" s="590"/>
      <c r="O97" s="590"/>
      <c r="P97" s="590"/>
      <c r="Q97" s="590"/>
      <c r="R97" s="590"/>
    </row>
    <row r="98" spans="1:18" s="117" customFormat="1" ht="15" customHeight="1" x14ac:dyDescent="0.2">
      <c r="A98" s="118">
        <v>2.6</v>
      </c>
      <c r="B98" s="578" t="s">
        <v>231</v>
      </c>
      <c r="C98" s="578"/>
      <c r="D98" s="578"/>
      <c r="E98" s="578"/>
      <c r="F98" s="578"/>
      <c r="G98" s="578"/>
      <c r="H98" s="578"/>
      <c r="I98" s="578"/>
      <c r="J98" s="578"/>
      <c r="K98" s="578"/>
      <c r="L98" s="578"/>
      <c r="M98" s="578"/>
      <c r="N98" s="578"/>
      <c r="O98" s="578"/>
      <c r="P98" s="578"/>
      <c r="Q98" s="578"/>
      <c r="R98" s="578"/>
    </row>
    <row r="99" spans="1:18" s="117" customFormat="1" ht="15" customHeight="1" x14ac:dyDescent="0.2">
      <c r="A99" s="118">
        <v>2.7</v>
      </c>
      <c r="B99" s="578" t="s">
        <v>232</v>
      </c>
      <c r="C99" s="578"/>
      <c r="D99" s="578"/>
      <c r="E99" s="578"/>
      <c r="F99" s="578"/>
      <c r="G99" s="578"/>
      <c r="H99" s="578"/>
      <c r="I99" s="578"/>
      <c r="J99" s="578"/>
      <c r="K99" s="578"/>
      <c r="L99" s="578"/>
      <c r="M99" s="578"/>
      <c r="N99" s="578"/>
      <c r="O99" s="578"/>
      <c r="P99" s="578"/>
      <c r="Q99" s="578"/>
      <c r="R99" s="578"/>
    </row>
    <row r="100" spans="1:18" s="117" customFormat="1" ht="36.75" customHeight="1" x14ac:dyDescent="0.2">
      <c r="A100" s="118">
        <v>2.8</v>
      </c>
      <c r="B100" s="578" t="s">
        <v>233</v>
      </c>
      <c r="C100" s="578"/>
      <c r="D100" s="578"/>
      <c r="E100" s="578"/>
      <c r="F100" s="578"/>
      <c r="G100" s="578"/>
      <c r="H100" s="578"/>
      <c r="I100" s="578"/>
      <c r="J100" s="578"/>
      <c r="K100" s="578"/>
      <c r="L100" s="578"/>
      <c r="M100" s="578"/>
      <c r="N100" s="578"/>
      <c r="O100" s="578"/>
      <c r="P100" s="578"/>
      <c r="Q100" s="578"/>
      <c r="R100" s="578"/>
    </row>
    <row r="101" spans="1:18" s="117" customFormat="1" ht="15" customHeight="1" x14ac:dyDescent="0.2">
      <c r="A101" s="118">
        <v>2.9</v>
      </c>
      <c r="B101" s="578" t="s">
        <v>234</v>
      </c>
      <c r="C101" s="578"/>
      <c r="D101" s="578"/>
      <c r="E101" s="578"/>
      <c r="F101" s="578"/>
      <c r="G101" s="578"/>
      <c r="H101" s="578"/>
      <c r="I101" s="578"/>
      <c r="J101" s="578"/>
      <c r="K101" s="578"/>
      <c r="L101" s="578"/>
      <c r="M101" s="578"/>
      <c r="N101" s="578"/>
      <c r="O101" s="578"/>
      <c r="P101" s="578"/>
      <c r="Q101" s="578"/>
      <c r="R101" s="578"/>
    </row>
    <row r="102" spans="1:18" s="117" customFormat="1" ht="69" customHeight="1" x14ac:dyDescent="0.2">
      <c r="A102" s="121">
        <v>2.1</v>
      </c>
      <c r="B102" s="590" t="s">
        <v>235</v>
      </c>
      <c r="C102" s="590"/>
      <c r="D102" s="590"/>
      <c r="E102" s="590"/>
      <c r="F102" s="590"/>
      <c r="G102" s="590"/>
      <c r="H102" s="590"/>
      <c r="I102" s="590"/>
      <c r="J102" s="590"/>
      <c r="K102" s="590"/>
      <c r="L102" s="590"/>
      <c r="M102" s="590"/>
      <c r="N102" s="590"/>
      <c r="O102" s="590"/>
      <c r="P102" s="590"/>
      <c r="Q102" s="590"/>
      <c r="R102" s="590"/>
    </row>
    <row r="103" spans="1:18" s="117" customFormat="1" ht="60.75" customHeight="1" x14ac:dyDescent="0.2">
      <c r="A103" s="118">
        <v>2.11</v>
      </c>
      <c r="B103" s="578" t="s">
        <v>236</v>
      </c>
      <c r="C103" s="578"/>
      <c r="D103" s="578"/>
      <c r="E103" s="578"/>
      <c r="F103" s="578"/>
      <c r="G103" s="578"/>
      <c r="H103" s="578"/>
      <c r="I103" s="578"/>
      <c r="J103" s="578"/>
      <c r="K103" s="578"/>
      <c r="L103" s="578"/>
      <c r="M103" s="578"/>
      <c r="N103" s="578"/>
      <c r="O103" s="578"/>
      <c r="P103" s="578"/>
      <c r="Q103" s="578"/>
      <c r="R103" s="578"/>
    </row>
    <row r="104" spans="1:18" s="117" customFormat="1" ht="11.25" x14ac:dyDescent="0.2">
      <c r="A104" s="591" t="s">
        <v>237</v>
      </c>
      <c r="B104" s="591"/>
      <c r="C104" s="591"/>
      <c r="D104" s="591"/>
      <c r="E104" s="591"/>
      <c r="F104" s="591"/>
      <c r="G104" s="591"/>
      <c r="H104" s="591"/>
      <c r="I104" s="591"/>
      <c r="J104" s="591"/>
      <c r="K104" s="591"/>
      <c r="L104" s="591"/>
      <c r="M104" s="591"/>
      <c r="N104" s="591"/>
      <c r="O104" s="591"/>
      <c r="P104" s="591"/>
      <c r="Q104" s="591"/>
      <c r="R104" s="591"/>
    </row>
    <row r="105" spans="1:18" s="117" customFormat="1" ht="55.5" customHeight="1" x14ac:dyDescent="0.2">
      <c r="A105" s="118">
        <v>3.1</v>
      </c>
      <c r="B105" s="578" t="s">
        <v>238</v>
      </c>
      <c r="C105" s="578"/>
      <c r="D105" s="578"/>
      <c r="E105" s="578"/>
      <c r="F105" s="578"/>
      <c r="G105" s="578"/>
      <c r="H105" s="578"/>
      <c r="I105" s="578"/>
      <c r="J105" s="578"/>
      <c r="K105" s="578"/>
      <c r="L105" s="578"/>
      <c r="M105" s="578"/>
      <c r="N105" s="578"/>
      <c r="O105" s="578"/>
      <c r="P105" s="578"/>
      <c r="Q105" s="578"/>
      <c r="R105" s="578"/>
    </row>
    <row r="106" spans="1:18" s="117" customFormat="1" ht="60.75" customHeight="1" x14ac:dyDescent="0.2">
      <c r="A106" s="118">
        <v>3.2</v>
      </c>
      <c r="B106" s="578" t="s">
        <v>239</v>
      </c>
      <c r="C106" s="578"/>
      <c r="D106" s="578"/>
      <c r="E106" s="578"/>
      <c r="F106" s="578"/>
      <c r="G106" s="578"/>
      <c r="H106" s="578"/>
      <c r="I106" s="578"/>
      <c r="J106" s="578"/>
      <c r="K106" s="578"/>
      <c r="L106" s="578"/>
      <c r="M106" s="578"/>
      <c r="N106" s="578"/>
      <c r="O106" s="578"/>
      <c r="P106" s="578"/>
      <c r="Q106" s="578"/>
      <c r="R106" s="578"/>
    </row>
    <row r="107" spans="1:18" s="117" customFormat="1" ht="34.5" customHeight="1" x14ac:dyDescent="0.2">
      <c r="A107" s="576" t="s">
        <v>240</v>
      </c>
      <c r="B107" s="576"/>
      <c r="C107" s="578" t="s">
        <v>241</v>
      </c>
      <c r="D107" s="578"/>
      <c r="E107" s="578"/>
      <c r="F107" s="578"/>
      <c r="G107" s="578"/>
      <c r="H107" s="578"/>
      <c r="I107" s="578"/>
      <c r="J107" s="578"/>
      <c r="K107" s="578"/>
      <c r="L107" s="578"/>
      <c r="M107" s="578"/>
      <c r="N107" s="578"/>
      <c r="O107" s="578"/>
      <c r="P107" s="578"/>
      <c r="Q107" s="578"/>
      <c r="R107" s="578"/>
    </row>
    <row r="108" spans="1:18" s="117" customFormat="1" ht="58.5" customHeight="1" x14ac:dyDescent="0.2">
      <c r="A108" s="118">
        <v>3.3</v>
      </c>
      <c r="B108" s="578" t="s">
        <v>242</v>
      </c>
      <c r="C108" s="578"/>
      <c r="D108" s="578"/>
      <c r="E108" s="578"/>
      <c r="F108" s="578"/>
      <c r="G108" s="578"/>
      <c r="H108" s="578"/>
      <c r="I108" s="578"/>
      <c r="J108" s="578"/>
      <c r="K108" s="578"/>
      <c r="L108" s="578"/>
      <c r="M108" s="578"/>
      <c r="N108" s="578"/>
      <c r="O108" s="578"/>
      <c r="P108" s="578"/>
      <c r="Q108" s="578"/>
      <c r="R108" s="578"/>
    </row>
    <row r="109" spans="1:18" s="117" customFormat="1" ht="45.75" customHeight="1" x14ac:dyDescent="0.2">
      <c r="A109" s="118">
        <v>3.4</v>
      </c>
      <c r="B109" s="578" t="s">
        <v>243</v>
      </c>
      <c r="C109" s="578"/>
      <c r="D109" s="578"/>
      <c r="E109" s="578"/>
      <c r="F109" s="578"/>
      <c r="G109" s="578"/>
      <c r="H109" s="578"/>
      <c r="I109" s="578"/>
      <c r="J109" s="578"/>
      <c r="K109" s="578"/>
      <c r="L109" s="578"/>
      <c r="M109" s="578"/>
      <c r="N109" s="578"/>
      <c r="O109" s="578"/>
      <c r="P109" s="578"/>
      <c r="Q109" s="578"/>
      <c r="R109" s="578"/>
    </row>
    <row r="110" spans="1:18" s="117" customFormat="1" ht="46.5" customHeight="1" x14ac:dyDescent="0.2">
      <c r="A110" s="118">
        <v>3.5</v>
      </c>
      <c r="B110" s="578" t="s">
        <v>244</v>
      </c>
      <c r="C110" s="578"/>
      <c r="D110" s="578"/>
      <c r="E110" s="578"/>
      <c r="F110" s="578"/>
      <c r="G110" s="578"/>
      <c r="H110" s="578"/>
      <c r="I110" s="578"/>
      <c r="J110" s="578"/>
      <c r="K110" s="578"/>
      <c r="L110" s="578"/>
      <c r="M110" s="578"/>
      <c r="N110" s="578"/>
      <c r="O110" s="578"/>
      <c r="P110" s="578"/>
      <c r="Q110" s="578"/>
      <c r="R110" s="578"/>
    </row>
    <row r="111" spans="1:18" s="117" customFormat="1" ht="34.5" customHeight="1" x14ac:dyDescent="0.2">
      <c r="A111" s="118">
        <v>3.6</v>
      </c>
      <c r="B111" s="578" t="s">
        <v>245</v>
      </c>
      <c r="C111" s="578"/>
      <c r="D111" s="578"/>
      <c r="E111" s="578"/>
      <c r="F111" s="578"/>
      <c r="G111" s="578"/>
      <c r="H111" s="578"/>
      <c r="I111" s="578"/>
      <c r="J111" s="578"/>
      <c r="K111" s="578"/>
      <c r="L111" s="578"/>
      <c r="M111" s="578"/>
      <c r="N111" s="578"/>
      <c r="O111" s="578"/>
      <c r="P111" s="578"/>
      <c r="Q111" s="578"/>
      <c r="R111" s="578"/>
    </row>
    <row r="112" spans="1:18" s="117" customFormat="1" ht="36.75" customHeight="1" x14ac:dyDescent="0.2">
      <c r="A112" s="118">
        <v>3.7</v>
      </c>
      <c r="B112" s="578" t="s">
        <v>246</v>
      </c>
      <c r="C112" s="578"/>
      <c r="D112" s="578"/>
      <c r="E112" s="578"/>
      <c r="F112" s="578"/>
      <c r="G112" s="578"/>
      <c r="H112" s="578"/>
      <c r="I112" s="578"/>
      <c r="J112" s="578"/>
      <c r="K112" s="578"/>
      <c r="L112" s="578"/>
      <c r="M112" s="578"/>
      <c r="N112" s="578"/>
      <c r="O112" s="578"/>
      <c r="P112" s="578"/>
      <c r="Q112" s="578"/>
      <c r="R112" s="578"/>
    </row>
    <row r="113" spans="1:18" s="117" customFormat="1" ht="25.5" customHeight="1" x14ac:dyDescent="0.2">
      <c r="A113" s="118">
        <v>3.8</v>
      </c>
      <c r="B113" s="578" t="s">
        <v>247</v>
      </c>
      <c r="C113" s="578"/>
      <c r="D113" s="578"/>
      <c r="E113" s="578"/>
      <c r="F113" s="578"/>
      <c r="G113" s="578"/>
      <c r="H113" s="578"/>
      <c r="I113" s="578"/>
      <c r="J113" s="578"/>
      <c r="K113" s="578"/>
      <c r="L113" s="578"/>
      <c r="M113" s="578"/>
      <c r="N113" s="578"/>
      <c r="O113" s="578"/>
      <c r="P113" s="578"/>
      <c r="Q113" s="578"/>
      <c r="R113" s="578"/>
    </row>
    <row r="114" spans="1:18" s="117" customFormat="1" ht="46.5" customHeight="1" x14ac:dyDescent="0.2">
      <c r="A114" s="118">
        <v>3.9</v>
      </c>
      <c r="B114" s="578" t="s">
        <v>248</v>
      </c>
      <c r="C114" s="578"/>
      <c r="D114" s="578"/>
      <c r="E114" s="578"/>
      <c r="F114" s="578"/>
      <c r="G114" s="578"/>
      <c r="H114" s="578"/>
      <c r="I114" s="578"/>
      <c r="J114" s="578"/>
      <c r="K114" s="578"/>
      <c r="L114" s="578"/>
      <c r="M114" s="578"/>
      <c r="N114" s="578"/>
      <c r="O114" s="578"/>
      <c r="P114" s="578"/>
      <c r="Q114" s="578"/>
      <c r="R114" s="578"/>
    </row>
    <row r="115" spans="1:18" s="117" customFormat="1" ht="11.25" x14ac:dyDescent="0.2">
      <c r="A115" s="591" t="s">
        <v>249</v>
      </c>
      <c r="B115" s="591"/>
      <c r="C115" s="591"/>
      <c r="D115" s="591"/>
      <c r="E115" s="591"/>
      <c r="F115" s="591"/>
      <c r="G115" s="591"/>
      <c r="H115" s="591"/>
      <c r="I115" s="591"/>
      <c r="J115" s="591"/>
      <c r="K115" s="591"/>
      <c r="L115" s="591"/>
      <c r="M115" s="591"/>
      <c r="N115" s="591"/>
      <c r="O115" s="591"/>
      <c r="P115" s="591"/>
      <c r="Q115" s="591"/>
      <c r="R115" s="591"/>
    </row>
    <row r="116" spans="1:18" s="117" customFormat="1" ht="117.75" customHeight="1" x14ac:dyDescent="0.2">
      <c r="A116" s="118">
        <v>4.0999999999999996</v>
      </c>
      <c r="B116" s="578" t="s">
        <v>250</v>
      </c>
      <c r="C116" s="578"/>
      <c r="D116" s="578"/>
      <c r="E116" s="578"/>
      <c r="F116" s="578"/>
      <c r="G116" s="578"/>
      <c r="H116" s="578"/>
      <c r="I116" s="578"/>
      <c r="J116" s="578"/>
      <c r="K116" s="578"/>
      <c r="L116" s="578"/>
      <c r="M116" s="578"/>
      <c r="N116" s="578"/>
      <c r="O116" s="578"/>
      <c r="P116" s="578"/>
      <c r="Q116" s="578"/>
      <c r="R116" s="578"/>
    </row>
    <row r="117" spans="1:18" s="117" customFormat="1" ht="11.25" x14ac:dyDescent="0.2">
      <c r="A117" s="582" t="s">
        <v>251</v>
      </c>
      <c r="B117" s="582"/>
      <c r="C117" s="582"/>
      <c r="D117" s="582"/>
      <c r="E117" s="582"/>
      <c r="F117" s="582"/>
      <c r="G117" s="582"/>
      <c r="H117" s="582"/>
      <c r="I117" s="582"/>
      <c r="J117" s="582"/>
      <c r="K117" s="582"/>
      <c r="L117" s="582"/>
      <c r="M117" s="582"/>
      <c r="N117" s="582"/>
      <c r="O117" s="582"/>
      <c r="P117" s="582"/>
      <c r="Q117" s="582"/>
      <c r="R117" s="582"/>
    </row>
    <row r="118" spans="1:18" s="117" customFormat="1" ht="25.5" customHeight="1" x14ac:dyDescent="0.2">
      <c r="A118" s="118">
        <v>5.0999999999999996</v>
      </c>
      <c r="B118" s="578" t="s">
        <v>252</v>
      </c>
      <c r="C118" s="578"/>
      <c r="D118" s="578"/>
      <c r="E118" s="578"/>
      <c r="F118" s="578"/>
      <c r="G118" s="578"/>
      <c r="H118" s="578"/>
      <c r="I118" s="578"/>
      <c r="J118" s="578"/>
      <c r="K118" s="578"/>
      <c r="L118" s="578"/>
      <c r="M118" s="578"/>
      <c r="N118" s="578"/>
      <c r="O118" s="578"/>
      <c r="P118" s="578"/>
      <c r="Q118" s="578"/>
      <c r="R118" s="578"/>
    </row>
    <row r="119" spans="1:18" s="117" customFormat="1" ht="39" customHeight="1" x14ac:dyDescent="0.2">
      <c r="A119" s="118">
        <v>5.2</v>
      </c>
      <c r="B119" s="578" t="s">
        <v>253</v>
      </c>
      <c r="C119" s="578"/>
      <c r="D119" s="578"/>
      <c r="E119" s="578"/>
      <c r="F119" s="578"/>
      <c r="G119" s="578"/>
      <c r="H119" s="578"/>
      <c r="I119" s="578"/>
      <c r="J119" s="578"/>
      <c r="K119" s="578"/>
      <c r="L119" s="578"/>
      <c r="M119" s="578"/>
      <c r="N119" s="578"/>
      <c r="O119" s="578"/>
      <c r="P119" s="578"/>
      <c r="Q119" s="578"/>
      <c r="R119" s="578"/>
    </row>
    <row r="120" spans="1:18" s="117" customFormat="1" ht="79.5" customHeight="1" x14ac:dyDescent="0.2">
      <c r="A120" s="118">
        <v>5.3</v>
      </c>
      <c r="B120" s="578" t="s">
        <v>254</v>
      </c>
      <c r="C120" s="578"/>
      <c r="D120" s="578"/>
      <c r="E120" s="578"/>
      <c r="F120" s="578"/>
      <c r="G120" s="578"/>
      <c r="H120" s="578"/>
      <c r="I120" s="578"/>
      <c r="J120" s="578"/>
      <c r="K120" s="578"/>
      <c r="L120" s="578"/>
      <c r="M120" s="578"/>
      <c r="N120" s="578"/>
      <c r="O120" s="578"/>
      <c r="P120" s="578"/>
      <c r="Q120" s="578"/>
      <c r="R120" s="578"/>
    </row>
    <row r="121" spans="1:18" s="117" customFormat="1" ht="32.25" customHeight="1" x14ac:dyDescent="0.2">
      <c r="A121" s="118">
        <v>5.4</v>
      </c>
      <c r="B121" s="578" t="s">
        <v>255</v>
      </c>
      <c r="C121" s="578"/>
      <c r="D121" s="578"/>
      <c r="E121" s="578"/>
      <c r="F121" s="578"/>
      <c r="G121" s="578"/>
      <c r="H121" s="578"/>
      <c r="I121" s="578"/>
      <c r="J121" s="578"/>
      <c r="K121" s="578"/>
      <c r="L121" s="578"/>
      <c r="M121" s="578"/>
      <c r="N121" s="578"/>
      <c r="O121" s="578"/>
      <c r="P121" s="578"/>
      <c r="Q121" s="578"/>
      <c r="R121" s="578"/>
    </row>
    <row r="122" spans="1:18" s="117" customFormat="1" ht="11.25" x14ac:dyDescent="0.2">
      <c r="A122" s="582" t="s">
        <v>256</v>
      </c>
      <c r="B122" s="582"/>
      <c r="C122" s="582"/>
      <c r="D122" s="582"/>
      <c r="E122" s="582"/>
      <c r="F122" s="582"/>
      <c r="G122" s="582"/>
      <c r="H122" s="582"/>
      <c r="I122" s="582"/>
      <c r="J122" s="582"/>
      <c r="K122" s="582"/>
      <c r="L122" s="582"/>
      <c r="M122" s="582"/>
      <c r="N122" s="582"/>
      <c r="O122" s="582"/>
      <c r="P122" s="582"/>
      <c r="Q122" s="582"/>
      <c r="R122" s="582"/>
    </row>
    <row r="123" spans="1:18" s="117" customFormat="1" ht="71.25" customHeight="1" x14ac:dyDescent="0.2">
      <c r="A123" s="118">
        <v>6.1</v>
      </c>
      <c r="B123" s="578" t="s">
        <v>257</v>
      </c>
      <c r="C123" s="578"/>
      <c r="D123" s="578"/>
      <c r="E123" s="578"/>
      <c r="F123" s="578"/>
      <c r="G123" s="578"/>
      <c r="H123" s="578"/>
      <c r="I123" s="578"/>
      <c r="J123" s="578"/>
      <c r="K123" s="578"/>
      <c r="L123" s="578"/>
      <c r="M123" s="578"/>
      <c r="N123" s="578"/>
      <c r="O123" s="578"/>
      <c r="P123" s="578"/>
      <c r="Q123" s="578"/>
      <c r="R123" s="578"/>
    </row>
    <row r="124" spans="1:18" s="117" customFormat="1" ht="39" customHeight="1" x14ac:dyDescent="0.2">
      <c r="A124" s="576" t="s">
        <v>258</v>
      </c>
      <c r="B124" s="576"/>
      <c r="C124" s="578" t="s">
        <v>259</v>
      </c>
      <c r="D124" s="578"/>
      <c r="E124" s="578"/>
      <c r="F124" s="578"/>
      <c r="G124" s="578"/>
      <c r="H124" s="578"/>
      <c r="I124" s="578"/>
      <c r="J124" s="578"/>
      <c r="K124" s="578"/>
      <c r="L124" s="578"/>
      <c r="M124" s="578"/>
      <c r="N124" s="578"/>
      <c r="O124" s="578"/>
      <c r="P124" s="578"/>
      <c r="Q124" s="578"/>
      <c r="R124" s="578"/>
    </row>
    <row r="125" spans="1:18" s="117" customFormat="1" ht="117" customHeight="1" x14ac:dyDescent="0.2">
      <c r="A125" s="122">
        <v>6.2</v>
      </c>
      <c r="B125" s="592" t="s">
        <v>260</v>
      </c>
      <c r="C125" s="592"/>
      <c r="D125" s="592"/>
      <c r="E125" s="592"/>
      <c r="F125" s="592"/>
      <c r="G125" s="592"/>
      <c r="H125" s="592"/>
      <c r="I125" s="592"/>
      <c r="J125" s="592"/>
      <c r="K125" s="592"/>
      <c r="L125" s="592"/>
      <c r="M125" s="592"/>
      <c r="N125" s="592"/>
      <c r="O125" s="592"/>
      <c r="P125" s="592"/>
      <c r="Q125" s="592"/>
      <c r="R125" s="592"/>
    </row>
    <row r="126" spans="1:18" s="117" customFormat="1" ht="63" customHeight="1" x14ac:dyDescent="0.2">
      <c r="A126" s="118">
        <v>6.3</v>
      </c>
      <c r="B126" s="578" t="s">
        <v>261</v>
      </c>
      <c r="C126" s="578"/>
      <c r="D126" s="578"/>
      <c r="E126" s="578"/>
      <c r="F126" s="578"/>
      <c r="G126" s="578"/>
      <c r="H126" s="578"/>
      <c r="I126" s="578"/>
      <c r="J126" s="578"/>
      <c r="K126" s="578"/>
      <c r="L126" s="578"/>
      <c r="M126" s="578"/>
      <c r="N126" s="578"/>
      <c r="O126" s="578"/>
      <c r="P126" s="578"/>
      <c r="Q126" s="578"/>
      <c r="R126" s="578"/>
    </row>
    <row r="127" spans="1:18" s="117" customFormat="1" ht="24.75" customHeight="1" x14ac:dyDescent="0.2">
      <c r="A127" s="576" t="s">
        <v>262</v>
      </c>
      <c r="B127" s="576"/>
      <c r="C127" s="578" t="s">
        <v>263</v>
      </c>
      <c r="D127" s="578"/>
      <c r="E127" s="578"/>
      <c r="F127" s="578"/>
      <c r="G127" s="578"/>
      <c r="H127" s="578"/>
      <c r="I127" s="578"/>
      <c r="J127" s="578"/>
      <c r="K127" s="578"/>
      <c r="L127" s="578"/>
      <c r="M127" s="578"/>
      <c r="N127" s="578"/>
      <c r="O127" s="578"/>
      <c r="P127" s="578"/>
      <c r="Q127" s="578"/>
      <c r="R127" s="578"/>
    </row>
    <row r="128" spans="1:18" s="117" customFormat="1" ht="15" customHeight="1" x14ac:dyDescent="0.2">
      <c r="A128" s="576" t="s">
        <v>264</v>
      </c>
      <c r="B128" s="576"/>
      <c r="C128" s="578" t="s">
        <v>265</v>
      </c>
      <c r="D128" s="578"/>
      <c r="E128" s="578"/>
      <c r="F128" s="578"/>
      <c r="G128" s="578"/>
      <c r="H128" s="578"/>
      <c r="I128" s="578"/>
      <c r="J128" s="578"/>
      <c r="K128" s="578"/>
      <c r="L128" s="578"/>
      <c r="M128" s="578"/>
      <c r="N128" s="578"/>
      <c r="O128" s="578"/>
      <c r="P128" s="578"/>
      <c r="Q128" s="578"/>
      <c r="R128" s="578"/>
    </row>
    <row r="129" spans="1:18" s="117" customFormat="1" ht="62.45" customHeight="1" x14ac:dyDescent="0.2">
      <c r="A129" s="118">
        <v>6.4</v>
      </c>
      <c r="B129" s="578" t="s">
        <v>266</v>
      </c>
      <c r="C129" s="578"/>
      <c r="D129" s="578"/>
      <c r="E129" s="578"/>
      <c r="F129" s="578"/>
      <c r="G129" s="578"/>
      <c r="H129" s="578"/>
      <c r="I129" s="578"/>
      <c r="J129" s="578"/>
      <c r="K129" s="578"/>
      <c r="L129" s="578"/>
      <c r="M129" s="578"/>
      <c r="N129" s="578"/>
      <c r="O129" s="578"/>
      <c r="P129" s="578"/>
      <c r="Q129" s="578"/>
      <c r="R129" s="578"/>
    </row>
    <row r="130" spans="1:18" s="117" customFormat="1" ht="63" customHeight="1" x14ac:dyDescent="0.2">
      <c r="A130" s="118">
        <v>6.5</v>
      </c>
      <c r="B130" s="578" t="s">
        <v>267</v>
      </c>
      <c r="C130" s="578"/>
      <c r="D130" s="578"/>
      <c r="E130" s="578"/>
      <c r="F130" s="578"/>
      <c r="G130" s="578"/>
      <c r="H130" s="578"/>
      <c r="I130" s="578"/>
      <c r="J130" s="578"/>
      <c r="K130" s="578"/>
      <c r="L130" s="578"/>
      <c r="M130" s="578"/>
      <c r="N130" s="578"/>
      <c r="O130" s="578"/>
      <c r="P130" s="578"/>
      <c r="Q130" s="578"/>
      <c r="R130" s="578"/>
    </row>
    <row r="131" spans="1:18" s="117" customFormat="1" ht="11.25" x14ac:dyDescent="0.2">
      <c r="A131" s="591" t="s">
        <v>268</v>
      </c>
      <c r="B131" s="591"/>
      <c r="C131" s="591"/>
      <c r="D131" s="591"/>
      <c r="E131" s="591"/>
      <c r="F131" s="591"/>
      <c r="G131" s="591"/>
      <c r="H131" s="591"/>
      <c r="I131" s="591"/>
      <c r="J131" s="591"/>
      <c r="K131" s="591"/>
      <c r="L131" s="591"/>
      <c r="M131" s="591"/>
      <c r="N131" s="591"/>
      <c r="O131" s="591"/>
      <c r="P131" s="591"/>
      <c r="Q131" s="591"/>
      <c r="R131" s="591"/>
    </row>
    <row r="132" spans="1:18" s="117" customFormat="1" ht="40.15" customHeight="1" x14ac:dyDescent="0.2">
      <c r="A132" s="118">
        <v>7.1</v>
      </c>
      <c r="B132" s="578" t="s">
        <v>269</v>
      </c>
      <c r="C132" s="578"/>
      <c r="D132" s="578"/>
      <c r="E132" s="578"/>
      <c r="F132" s="578"/>
      <c r="G132" s="578"/>
      <c r="H132" s="578"/>
      <c r="I132" s="578"/>
      <c r="J132" s="578"/>
      <c r="K132" s="578"/>
      <c r="L132" s="578"/>
      <c r="M132" s="578"/>
      <c r="N132" s="578"/>
      <c r="O132" s="578"/>
      <c r="P132" s="578"/>
      <c r="Q132" s="578"/>
      <c r="R132" s="578"/>
    </row>
    <row r="133" spans="1:18" s="117" customFormat="1" ht="38.25" customHeight="1" x14ac:dyDescent="0.2">
      <c r="A133" s="118">
        <v>7.2</v>
      </c>
      <c r="B133" s="578" t="s">
        <v>270</v>
      </c>
      <c r="C133" s="578"/>
      <c r="D133" s="578"/>
      <c r="E133" s="578"/>
      <c r="F133" s="578"/>
      <c r="G133" s="578"/>
      <c r="H133" s="578"/>
      <c r="I133" s="578"/>
      <c r="J133" s="578"/>
      <c r="K133" s="578"/>
      <c r="L133" s="578"/>
      <c r="M133" s="578"/>
      <c r="N133" s="578"/>
      <c r="O133" s="578"/>
      <c r="P133" s="578"/>
      <c r="Q133" s="578"/>
      <c r="R133" s="578"/>
    </row>
    <row r="134" spans="1:18" s="117" customFormat="1" ht="59.25" customHeight="1" x14ac:dyDescent="0.2">
      <c r="A134" s="118">
        <v>7.3</v>
      </c>
      <c r="B134" s="578" t="s">
        <v>271</v>
      </c>
      <c r="C134" s="578"/>
      <c r="D134" s="578"/>
      <c r="E134" s="578"/>
      <c r="F134" s="578"/>
      <c r="G134" s="578"/>
      <c r="H134" s="578"/>
      <c r="I134" s="578"/>
      <c r="J134" s="578"/>
      <c r="K134" s="578"/>
      <c r="L134" s="578"/>
      <c r="M134" s="578"/>
      <c r="N134" s="578"/>
      <c r="O134" s="578"/>
      <c r="P134" s="578"/>
      <c r="Q134" s="578"/>
      <c r="R134" s="578"/>
    </row>
    <row r="135" spans="1:18" s="117" customFormat="1" ht="39" customHeight="1" x14ac:dyDescent="0.2">
      <c r="A135" s="118">
        <v>7.4</v>
      </c>
      <c r="B135" s="578" t="s">
        <v>272</v>
      </c>
      <c r="C135" s="578"/>
      <c r="D135" s="578"/>
      <c r="E135" s="578"/>
      <c r="F135" s="578"/>
      <c r="G135" s="578"/>
      <c r="H135" s="578"/>
      <c r="I135" s="578"/>
      <c r="J135" s="578"/>
      <c r="K135" s="578"/>
      <c r="L135" s="578"/>
      <c r="M135" s="578"/>
      <c r="N135" s="578"/>
      <c r="O135" s="578"/>
      <c r="P135" s="578"/>
      <c r="Q135" s="578"/>
      <c r="R135" s="578"/>
    </row>
    <row r="136" spans="1:18" s="117" customFormat="1" ht="64.5" customHeight="1" x14ac:dyDescent="0.2">
      <c r="A136" s="122">
        <v>7.5</v>
      </c>
      <c r="B136" s="592" t="s">
        <v>273</v>
      </c>
      <c r="C136" s="592"/>
      <c r="D136" s="592"/>
      <c r="E136" s="592"/>
      <c r="F136" s="592"/>
      <c r="G136" s="592"/>
      <c r="H136" s="592"/>
      <c r="I136" s="592"/>
      <c r="J136" s="592"/>
      <c r="K136" s="592"/>
      <c r="L136" s="592"/>
      <c r="M136" s="592"/>
      <c r="N136" s="592"/>
      <c r="O136" s="592"/>
      <c r="P136" s="592"/>
      <c r="Q136" s="592"/>
      <c r="R136" s="592"/>
    </row>
    <row r="137" spans="1:18" s="117" customFormat="1" ht="11.25" x14ac:dyDescent="0.2">
      <c r="A137" s="591" t="s">
        <v>274</v>
      </c>
      <c r="B137" s="591"/>
      <c r="C137" s="591"/>
      <c r="D137" s="591"/>
      <c r="E137" s="591"/>
      <c r="F137" s="591"/>
      <c r="G137" s="591"/>
      <c r="H137" s="591"/>
      <c r="I137" s="591"/>
      <c r="J137" s="591"/>
      <c r="K137" s="591"/>
      <c r="L137" s="591"/>
      <c r="M137" s="591"/>
      <c r="N137" s="591"/>
      <c r="O137" s="591"/>
      <c r="P137" s="591"/>
      <c r="Q137" s="591"/>
      <c r="R137" s="591"/>
    </row>
    <row r="138" spans="1:18" s="117" customFormat="1" ht="34.5" customHeight="1" x14ac:dyDescent="0.2">
      <c r="A138" s="118">
        <v>8.1</v>
      </c>
      <c r="B138" s="578" t="s">
        <v>275</v>
      </c>
      <c r="C138" s="578"/>
      <c r="D138" s="578"/>
      <c r="E138" s="578"/>
      <c r="F138" s="578"/>
      <c r="G138" s="578"/>
      <c r="H138" s="578"/>
      <c r="I138" s="578"/>
      <c r="J138" s="578"/>
      <c r="K138" s="578"/>
      <c r="L138" s="578"/>
      <c r="M138" s="578"/>
      <c r="N138" s="578"/>
      <c r="O138" s="578"/>
      <c r="P138" s="578"/>
      <c r="Q138" s="578"/>
      <c r="R138" s="578"/>
    </row>
    <row r="139" spans="1:18" s="117" customFormat="1" ht="41.25" customHeight="1" x14ac:dyDescent="0.2">
      <c r="A139" s="118">
        <v>8.1999999999999993</v>
      </c>
      <c r="B139" s="578" t="s">
        <v>276</v>
      </c>
      <c r="C139" s="578"/>
      <c r="D139" s="578"/>
      <c r="E139" s="578"/>
      <c r="F139" s="578"/>
      <c r="G139" s="578"/>
      <c r="H139" s="578"/>
      <c r="I139" s="578"/>
      <c r="J139" s="578"/>
      <c r="K139" s="578"/>
      <c r="L139" s="578"/>
      <c r="M139" s="578"/>
      <c r="N139" s="578"/>
      <c r="O139" s="578"/>
      <c r="P139" s="578"/>
      <c r="Q139" s="578"/>
      <c r="R139" s="578"/>
    </row>
    <row r="140" spans="1:18" s="117" customFormat="1" ht="30" customHeight="1" x14ac:dyDescent="0.2">
      <c r="A140" s="118">
        <v>8.3000000000000007</v>
      </c>
      <c r="B140" s="578" t="s">
        <v>277</v>
      </c>
      <c r="C140" s="578"/>
      <c r="D140" s="578"/>
      <c r="E140" s="578"/>
      <c r="F140" s="578"/>
      <c r="G140" s="578"/>
      <c r="H140" s="578"/>
      <c r="I140" s="578"/>
      <c r="J140" s="578"/>
      <c r="K140" s="578"/>
      <c r="L140" s="578"/>
      <c r="M140" s="578"/>
      <c r="N140" s="578"/>
      <c r="O140" s="578"/>
      <c r="P140" s="578"/>
      <c r="Q140" s="578"/>
      <c r="R140" s="578"/>
    </row>
    <row r="141" spans="1:18" s="117" customFormat="1" ht="23.25" customHeight="1" x14ac:dyDescent="0.2">
      <c r="A141" s="576" t="s">
        <v>278</v>
      </c>
      <c r="B141" s="576"/>
      <c r="C141" s="578" t="s">
        <v>279</v>
      </c>
      <c r="D141" s="578"/>
      <c r="E141" s="578"/>
      <c r="F141" s="578"/>
      <c r="G141" s="578"/>
      <c r="H141" s="578"/>
      <c r="I141" s="578"/>
      <c r="J141" s="578"/>
      <c r="K141" s="578"/>
      <c r="L141" s="578"/>
      <c r="M141" s="578"/>
      <c r="N141" s="578"/>
      <c r="O141" s="578"/>
      <c r="P141" s="578"/>
      <c r="Q141" s="578"/>
      <c r="R141" s="578"/>
    </row>
    <row r="142" spans="1:18" s="117" customFormat="1" ht="26.25" customHeight="1" x14ac:dyDescent="0.2">
      <c r="A142" s="576" t="s">
        <v>280</v>
      </c>
      <c r="B142" s="576"/>
      <c r="C142" s="578" t="s">
        <v>281</v>
      </c>
      <c r="D142" s="578"/>
      <c r="E142" s="578"/>
      <c r="F142" s="578"/>
      <c r="G142" s="578"/>
      <c r="H142" s="578"/>
      <c r="I142" s="578"/>
      <c r="J142" s="578"/>
      <c r="K142" s="578"/>
      <c r="L142" s="578"/>
      <c r="M142" s="578"/>
      <c r="N142" s="578"/>
      <c r="O142" s="578"/>
      <c r="P142" s="578"/>
      <c r="Q142" s="578"/>
      <c r="R142" s="578"/>
    </row>
    <row r="143" spans="1:18" s="117" customFormat="1" ht="15" customHeight="1" x14ac:dyDescent="0.2">
      <c r="A143" s="576" t="s">
        <v>282</v>
      </c>
      <c r="B143" s="576"/>
      <c r="C143" s="578" t="s">
        <v>283</v>
      </c>
      <c r="D143" s="578"/>
      <c r="E143" s="578"/>
      <c r="F143" s="578"/>
      <c r="G143" s="578"/>
      <c r="H143" s="578"/>
      <c r="I143" s="578"/>
      <c r="J143" s="578"/>
      <c r="K143" s="578"/>
      <c r="L143" s="578"/>
      <c r="M143" s="578"/>
      <c r="N143" s="578"/>
      <c r="O143" s="578"/>
      <c r="P143" s="578"/>
      <c r="Q143" s="578"/>
      <c r="R143" s="578"/>
    </row>
    <row r="144" spans="1:18" s="117" customFormat="1" ht="22.7" customHeight="1" x14ac:dyDescent="0.2">
      <c r="A144" s="576" t="s">
        <v>284</v>
      </c>
      <c r="B144" s="576"/>
      <c r="C144" s="578" t="s">
        <v>285</v>
      </c>
      <c r="D144" s="578"/>
      <c r="E144" s="578"/>
      <c r="F144" s="578"/>
      <c r="G144" s="578"/>
      <c r="H144" s="578"/>
      <c r="I144" s="578"/>
      <c r="J144" s="578"/>
      <c r="K144" s="578"/>
      <c r="L144" s="578"/>
      <c r="M144" s="578"/>
      <c r="N144" s="578"/>
      <c r="O144" s="578"/>
      <c r="P144" s="578"/>
      <c r="Q144" s="578"/>
      <c r="R144" s="578"/>
    </row>
    <row r="145" spans="1:18" s="117" customFormat="1" ht="27" customHeight="1" x14ac:dyDescent="0.2">
      <c r="A145" s="576" t="s">
        <v>286</v>
      </c>
      <c r="B145" s="576"/>
      <c r="C145" s="578" t="s">
        <v>287</v>
      </c>
      <c r="D145" s="578"/>
      <c r="E145" s="578"/>
      <c r="F145" s="578"/>
      <c r="G145" s="578"/>
      <c r="H145" s="578"/>
      <c r="I145" s="578"/>
      <c r="J145" s="578"/>
      <c r="K145" s="578"/>
      <c r="L145" s="578"/>
      <c r="M145" s="578"/>
      <c r="N145" s="578"/>
      <c r="O145" s="578"/>
      <c r="P145" s="578"/>
      <c r="Q145" s="578"/>
      <c r="R145" s="578"/>
    </row>
    <row r="146" spans="1:18" s="117" customFormat="1" ht="40.5" customHeight="1" x14ac:dyDescent="0.2">
      <c r="A146" s="576" t="s">
        <v>288</v>
      </c>
      <c r="B146" s="576"/>
      <c r="C146" s="578" t="s">
        <v>289</v>
      </c>
      <c r="D146" s="578"/>
      <c r="E146" s="578"/>
      <c r="F146" s="578"/>
      <c r="G146" s="578"/>
      <c r="H146" s="578"/>
      <c r="I146" s="578"/>
      <c r="J146" s="578"/>
      <c r="K146" s="578"/>
      <c r="L146" s="578"/>
      <c r="M146" s="578"/>
      <c r="N146" s="578"/>
      <c r="O146" s="578"/>
      <c r="P146" s="578"/>
      <c r="Q146" s="578"/>
      <c r="R146" s="578"/>
    </row>
    <row r="147" spans="1:18" s="117" customFormat="1" ht="29.25" customHeight="1" x14ac:dyDescent="0.2">
      <c r="A147" s="576" t="s">
        <v>290</v>
      </c>
      <c r="B147" s="576"/>
      <c r="C147" s="578" t="s">
        <v>291</v>
      </c>
      <c r="D147" s="578"/>
      <c r="E147" s="578"/>
      <c r="F147" s="578"/>
      <c r="G147" s="578"/>
      <c r="H147" s="578"/>
      <c r="I147" s="578"/>
      <c r="J147" s="578"/>
      <c r="K147" s="578"/>
      <c r="L147" s="578"/>
      <c r="M147" s="578"/>
      <c r="N147" s="578"/>
      <c r="O147" s="578"/>
      <c r="P147" s="578"/>
      <c r="Q147" s="578"/>
      <c r="R147" s="578"/>
    </row>
    <row r="148" spans="1:18" s="117" customFormat="1" ht="15" customHeight="1" x14ac:dyDescent="0.2">
      <c r="A148" s="591" t="s">
        <v>292</v>
      </c>
      <c r="B148" s="591"/>
      <c r="C148" s="591"/>
      <c r="D148" s="591"/>
      <c r="E148" s="591"/>
      <c r="F148" s="591"/>
      <c r="G148" s="591"/>
      <c r="H148" s="591"/>
      <c r="I148" s="591"/>
      <c r="J148" s="591"/>
      <c r="K148" s="591"/>
      <c r="L148" s="591"/>
      <c r="M148" s="591"/>
      <c r="N148" s="591"/>
      <c r="O148" s="591"/>
      <c r="P148" s="591"/>
      <c r="Q148" s="591"/>
      <c r="R148" s="591"/>
    </row>
    <row r="149" spans="1:18" s="117" customFormat="1" ht="33.6" customHeight="1" x14ac:dyDescent="0.2">
      <c r="A149" s="118">
        <v>9.1</v>
      </c>
      <c r="B149" s="578" t="s">
        <v>293</v>
      </c>
      <c r="C149" s="578"/>
      <c r="D149" s="578"/>
      <c r="E149" s="578"/>
      <c r="F149" s="578"/>
      <c r="G149" s="578"/>
      <c r="H149" s="578"/>
      <c r="I149" s="578"/>
      <c r="J149" s="578"/>
      <c r="K149" s="578"/>
      <c r="L149" s="578"/>
      <c r="M149" s="578"/>
      <c r="N149" s="578"/>
      <c r="O149" s="578"/>
      <c r="P149" s="578"/>
      <c r="Q149" s="578"/>
      <c r="R149" s="578"/>
    </row>
    <row r="150" spans="1:18" s="117" customFormat="1" ht="27" customHeight="1" x14ac:dyDescent="0.2">
      <c r="A150" s="118">
        <v>9.1999999999999993</v>
      </c>
      <c r="B150" s="578" t="s">
        <v>294</v>
      </c>
      <c r="C150" s="578"/>
      <c r="D150" s="578"/>
      <c r="E150" s="578"/>
      <c r="F150" s="578"/>
      <c r="G150" s="578"/>
      <c r="H150" s="578"/>
      <c r="I150" s="578"/>
      <c r="J150" s="578"/>
      <c r="K150" s="578"/>
      <c r="L150" s="578"/>
      <c r="M150" s="578"/>
      <c r="N150" s="578"/>
      <c r="O150" s="578"/>
      <c r="P150" s="578"/>
      <c r="Q150" s="578"/>
      <c r="R150" s="578"/>
    </row>
    <row r="151" spans="1:18" s="117" customFormat="1" ht="33" customHeight="1" x14ac:dyDescent="0.2">
      <c r="A151" s="118">
        <v>9.3000000000000007</v>
      </c>
      <c r="B151" s="578" t="s">
        <v>295</v>
      </c>
      <c r="C151" s="578"/>
      <c r="D151" s="578"/>
      <c r="E151" s="578"/>
      <c r="F151" s="578"/>
      <c r="G151" s="578"/>
      <c r="H151" s="578"/>
      <c r="I151" s="578"/>
      <c r="J151" s="578"/>
      <c r="K151" s="578"/>
      <c r="L151" s="578"/>
      <c r="M151" s="578"/>
      <c r="N151" s="578"/>
      <c r="O151" s="578"/>
      <c r="P151" s="578"/>
      <c r="Q151" s="578"/>
      <c r="R151" s="578"/>
    </row>
    <row r="152" spans="1:18" s="117" customFormat="1" ht="31.5" customHeight="1" x14ac:dyDescent="0.2">
      <c r="A152" s="118">
        <v>9.4</v>
      </c>
      <c r="B152" s="578" t="s">
        <v>296</v>
      </c>
      <c r="C152" s="578"/>
      <c r="D152" s="578"/>
      <c r="E152" s="578"/>
      <c r="F152" s="578"/>
      <c r="G152" s="578"/>
      <c r="H152" s="578"/>
      <c r="I152" s="578"/>
      <c r="J152" s="578"/>
      <c r="K152" s="578"/>
      <c r="L152" s="578"/>
      <c r="M152" s="578"/>
      <c r="N152" s="578"/>
      <c r="O152" s="578"/>
      <c r="P152" s="578"/>
      <c r="Q152" s="578"/>
      <c r="R152" s="578"/>
    </row>
    <row r="153" spans="1:18" s="117" customFormat="1" ht="15" customHeight="1" x14ac:dyDescent="0.2">
      <c r="A153" s="582" t="s">
        <v>297</v>
      </c>
      <c r="B153" s="582"/>
      <c r="C153" s="582"/>
      <c r="D153" s="582"/>
      <c r="E153" s="582"/>
      <c r="F153" s="582"/>
      <c r="G153" s="582"/>
      <c r="H153" s="582"/>
      <c r="I153" s="582"/>
      <c r="J153" s="582"/>
      <c r="K153" s="582"/>
      <c r="L153" s="582"/>
      <c r="M153" s="582"/>
      <c r="N153" s="582"/>
      <c r="O153" s="582"/>
      <c r="P153" s="582"/>
      <c r="Q153" s="582"/>
      <c r="R153" s="582"/>
    </row>
    <row r="154" spans="1:18" s="117" customFormat="1" ht="58.5" customHeight="1" x14ac:dyDescent="0.2">
      <c r="A154" s="118">
        <v>10.1</v>
      </c>
      <c r="B154" s="578" t="s">
        <v>298</v>
      </c>
      <c r="C154" s="578"/>
      <c r="D154" s="578"/>
      <c r="E154" s="578"/>
      <c r="F154" s="578"/>
      <c r="G154" s="578"/>
      <c r="H154" s="578"/>
      <c r="I154" s="578"/>
      <c r="J154" s="578"/>
      <c r="K154" s="578"/>
      <c r="L154" s="578"/>
      <c r="M154" s="578"/>
      <c r="N154" s="578"/>
      <c r="O154" s="578"/>
      <c r="P154" s="578"/>
      <c r="Q154" s="578"/>
      <c r="R154" s="578"/>
    </row>
    <row r="155" spans="1:18" s="117" customFormat="1" ht="15" customHeight="1" x14ac:dyDescent="0.2">
      <c r="A155" s="118">
        <v>10.199999999999999</v>
      </c>
      <c r="B155" s="578" t="s">
        <v>299</v>
      </c>
      <c r="C155" s="578"/>
      <c r="D155" s="578"/>
      <c r="E155" s="578"/>
      <c r="F155" s="578"/>
      <c r="G155" s="578"/>
      <c r="H155" s="578"/>
      <c r="I155" s="578"/>
      <c r="J155" s="578"/>
      <c r="K155" s="578"/>
      <c r="L155" s="578"/>
      <c r="M155" s="578"/>
      <c r="N155" s="578"/>
      <c r="O155" s="578"/>
      <c r="P155" s="578"/>
      <c r="Q155" s="578"/>
      <c r="R155" s="578"/>
    </row>
    <row r="156" spans="1:18" s="117" customFormat="1" ht="27" customHeight="1" x14ac:dyDescent="0.2">
      <c r="A156" s="118">
        <v>10.3</v>
      </c>
      <c r="B156" s="590" t="s">
        <v>300</v>
      </c>
      <c r="C156" s="590"/>
      <c r="D156" s="590"/>
      <c r="E156" s="590"/>
      <c r="F156" s="590"/>
      <c r="G156" s="590"/>
      <c r="H156" s="590"/>
      <c r="I156" s="590"/>
      <c r="J156" s="590"/>
      <c r="K156" s="590"/>
      <c r="L156" s="590"/>
      <c r="M156" s="590"/>
      <c r="N156" s="590"/>
      <c r="O156" s="590"/>
      <c r="P156" s="590"/>
      <c r="Q156" s="590"/>
      <c r="R156" s="590"/>
    </row>
    <row r="157" spans="1:18" s="117" customFormat="1" ht="15" customHeight="1" x14ac:dyDescent="0.2">
      <c r="A157" s="118">
        <v>10.4</v>
      </c>
      <c r="B157" s="578" t="s">
        <v>301</v>
      </c>
      <c r="C157" s="578"/>
      <c r="D157" s="578"/>
      <c r="E157" s="578"/>
      <c r="F157" s="578"/>
      <c r="G157" s="578"/>
      <c r="H157" s="578"/>
      <c r="I157" s="578"/>
      <c r="J157" s="578"/>
      <c r="K157" s="578"/>
      <c r="L157" s="578"/>
      <c r="M157" s="578"/>
      <c r="N157" s="578"/>
      <c r="O157" s="578"/>
      <c r="P157" s="578"/>
      <c r="Q157" s="578"/>
      <c r="R157" s="578"/>
    </row>
    <row r="158" spans="1:18" s="117" customFormat="1" ht="11.25" x14ac:dyDescent="0.2">
      <c r="A158" s="591" t="s">
        <v>302</v>
      </c>
      <c r="B158" s="591"/>
      <c r="C158" s="591"/>
      <c r="D158" s="591"/>
      <c r="E158" s="591"/>
      <c r="F158" s="591"/>
      <c r="G158" s="591"/>
      <c r="H158" s="591"/>
      <c r="I158" s="591"/>
      <c r="J158" s="591"/>
      <c r="K158" s="591"/>
      <c r="L158" s="591"/>
      <c r="M158" s="591"/>
      <c r="N158" s="591"/>
      <c r="O158" s="591"/>
      <c r="P158" s="591"/>
      <c r="Q158" s="591"/>
      <c r="R158" s="591"/>
    </row>
    <row r="159" spans="1:18" s="117" customFormat="1" ht="15" customHeight="1" x14ac:dyDescent="0.2">
      <c r="A159" s="118">
        <v>11.1</v>
      </c>
      <c r="B159" s="578" t="s">
        <v>303</v>
      </c>
      <c r="C159" s="578"/>
      <c r="D159" s="578"/>
      <c r="E159" s="578"/>
      <c r="F159" s="578"/>
      <c r="G159" s="578"/>
      <c r="H159" s="578"/>
      <c r="I159" s="578"/>
      <c r="J159" s="578"/>
      <c r="K159" s="578"/>
      <c r="L159" s="578"/>
      <c r="M159" s="578"/>
      <c r="N159" s="578"/>
      <c r="O159" s="578"/>
      <c r="P159" s="578"/>
      <c r="Q159" s="578"/>
      <c r="R159" s="578"/>
    </row>
    <row r="160" spans="1:18" s="117" customFormat="1" ht="51" customHeight="1" x14ac:dyDescent="0.2">
      <c r="A160" s="118">
        <v>11.2</v>
      </c>
      <c r="B160" s="578" t="s">
        <v>304</v>
      </c>
      <c r="C160" s="578"/>
      <c r="D160" s="578"/>
      <c r="E160" s="578"/>
      <c r="F160" s="578"/>
      <c r="G160" s="578"/>
      <c r="H160" s="578"/>
      <c r="I160" s="578"/>
      <c r="J160" s="578"/>
      <c r="K160" s="578"/>
      <c r="L160" s="578"/>
      <c r="M160" s="578"/>
      <c r="N160" s="578"/>
      <c r="O160" s="578"/>
      <c r="P160" s="578"/>
      <c r="Q160" s="578"/>
      <c r="R160" s="578"/>
    </row>
    <row r="161" spans="1:19" s="117" customFormat="1" ht="145.5" customHeight="1" x14ac:dyDescent="0.2">
      <c r="A161" s="118">
        <v>11.3</v>
      </c>
      <c r="B161" s="578" t="s">
        <v>305</v>
      </c>
      <c r="C161" s="578"/>
      <c r="D161" s="578"/>
      <c r="E161" s="578"/>
      <c r="F161" s="578"/>
      <c r="G161" s="578"/>
      <c r="H161" s="578"/>
      <c r="I161" s="578"/>
      <c r="J161" s="578"/>
      <c r="K161" s="578"/>
      <c r="L161" s="578"/>
      <c r="M161" s="578"/>
      <c r="N161" s="578"/>
      <c r="O161" s="578"/>
      <c r="P161" s="578"/>
      <c r="Q161" s="578"/>
      <c r="R161" s="578"/>
    </row>
    <row r="162" spans="1:19" s="117" customFormat="1" ht="25.5" customHeight="1" x14ac:dyDescent="0.2">
      <c r="A162" s="118">
        <v>11.4</v>
      </c>
      <c r="B162" s="578" t="s">
        <v>306</v>
      </c>
      <c r="C162" s="578"/>
      <c r="D162" s="578"/>
      <c r="E162" s="578"/>
      <c r="F162" s="578"/>
      <c r="G162" s="578"/>
      <c r="H162" s="578"/>
      <c r="I162" s="578"/>
      <c r="J162" s="578"/>
      <c r="K162" s="578"/>
      <c r="L162" s="578"/>
      <c r="M162" s="578"/>
      <c r="N162" s="578"/>
      <c r="O162" s="578"/>
      <c r="P162" s="578"/>
      <c r="Q162" s="578"/>
      <c r="R162" s="578"/>
    </row>
    <row r="163" spans="1:19" s="117" customFormat="1" ht="11.25" x14ac:dyDescent="0.2">
      <c r="A163" s="591" t="s">
        <v>307</v>
      </c>
      <c r="B163" s="591"/>
      <c r="C163" s="591"/>
      <c r="D163" s="591"/>
      <c r="E163" s="591"/>
      <c r="F163" s="591"/>
      <c r="G163" s="591"/>
      <c r="H163" s="591"/>
      <c r="I163" s="591"/>
      <c r="J163" s="591"/>
      <c r="K163" s="591"/>
      <c r="L163" s="591"/>
      <c r="M163" s="591"/>
      <c r="N163" s="591"/>
      <c r="O163" s="591"/>
      <c r="P163" s="591"/>
      <c r="Q163" s="591"/>
      <c r="R163" s="591"/>
    </row>
    <row r="164" spans="1:19" s="117" customFormat="1" ht="39" customHeight="1" x14ac:dyDescent="0.2">
      <c r="A164" s="118">
        <v>12.1</v>
      </c>
      <c r="B164" s="578" t="s">
        <v>308</v>
      </c>
      <c r="C164" s="578"/>
      <c r="D164" s="578"/>
      <c r="E164" s="578"/>
      <c r="F164" s="578"/>
      <c r="G164" s="578"/>
      <c r="H164" s="578"/>
      <c r="I164" s="578"/>
      <c r="J164" s="578"/>
      <c r="K164" s="578"/>
      <c r="L164" s="578"/>
      <c r="M164" s="578"/>
      <c r="N164" s="578"/>
      <c r="O164" s="578"/>
      <c r="P164" s="578"/>
      <c r="Q164" s="578"/>
      <c r="R164" s="578"/>
      <c r="S164" s="119"/>
    </row>
    <row r="165" spans="1:19" s="117" customFormat="1" ht="24" customHeight="1" x14ac:dyDescent="0.2">
      <c r="A165" s="118">
        <v>12.2</v>
      </c>
      <c r="B165" s="578" t="s">
        <v>309</v>
      </c>
      <c r="C165" s="578"/>
      <c r="D165" s="578"/>
      <c r="E165" s="578"/>
      <c r="F165" s="578"/>
      <c r="G165" s="578"/>
      <c r="H165" s="578"/>
      <c r="I165" s="578"/>
      <c r="J165" s="578"/>
      <c r="K165" s="578"/>
      <c r="L165" s="578"/>
      <c r="M165" s="578"/>
      <c r="N165" s="578"/>
      <c r="O165" s="578"/>
      <c r="P165" s="578"/>
      <c r="Q165" s="578"/>
      <c r="R165" s="578"/>
    </row>
    <row r="166" spans="1:19" s="117" customFormat="1" ht="15" customHeight="1" x14ac:dyDescent="0.2">
      <c r="A166" s="118">
        <v>12.3</v>
      </c>
      <c r="B166" s="578" t="s">
        <v>310</v>
      </c>
      <c r="C166" s="578"/>
      <c r="D166" s="578"/>
      <c r="E166" s="578"/>
      <c r="F166" s="578"/>
      <c r="G166" s="578"/>
      <c r="H166" s="578"/>
      <c r="I166" s="578"/>
      <c r="J166" s="578"/>
      <c r="K166" s="578"/>
      <c r="L166" s="578"/>
      <c r="M166" s="578"/>
      <c r="N166" s="578"/>
      <c r="O166" s="578"/>
      <c r="P166" s="578"/>
      <c r="Q166" s="578"/>
      <c r="R166" s="578"/>
    </row>
    <row r="167" spans="1:19" s="117" customFormat="1" ht="24.75" customHeight="1" x14ac:dyDescent="0.2">
      <c r="A167" s="118">
        <v>12.4</v>
      </c>
      <c r="B167" s="578" t="s">
        <v>311</v>
      </c>
      <c r="C167" s="578"/>
      <c r="D167" s="578"/>
      <c r="E167" s="578"/>
      <c r="F167" s="578"/>
      <c r="G167" s="578"/>
      <c r="H167" s="578"/>
      <c r="I167" s="578"/>
      <c r="J167" s="578"/>
      <c r="K167" s="578"/>
      <c r="L167" s="578"/>
      <c r="M167" s="578"/>
      <c r="N167" s="578"/>
      <c r="O167" s="578"/>
      <c r="P167" s="578"/>
      <c r="Q167" s="578"/>
      <c r="R167" s="578"/>
    </row>
    <row r="168" spans="1:19" s="117" customFormat="1" ht="48" customHeight="1" x14ac:dyDescent="0.2">
      <c r="A168" s="118">
        <v>12.5</v>
      </c>
      <c r="B168" s="578" t="s">
        <v>312</v>
      </c>
      <c r="C168" s="578"/>
      <c r="D168" s="578"/>
      <c r="E168" s="578"/>
      <c r="F168" s="578"/>
      <c r="G168" s="578"/>
      <c r="H168" s="578"/>
      <c r="I168" s="578"/>
      <c r="J168" s="578"/>
      <c r="K168" s="578"/>
      <c r="L168" s="578"/>
      <c r="M168" s="578"/>
      <c r="N168" s="578"/>
      <c r="O168" s="578"/>
      <c r="P168" s="578"/>
      <c r="Q168" s="578"/>
      <c r="R168" s="578"/>
    </row>
    <row r="169" spans="1:19" s="117" customFormat="1" ht="177.75" customHeight="1" x14ac:dyDescent="0.2">
      <c r="A169" s="118">
        <v>12.6</v>
      </c>
      <c r="B169" s="578" t="s">
        <v>313</v>
      </c>
      <c r="C169" s="578"/>
      <c r="D169" s="578"/>
      <c r="E169" s="578"/>
      <c r="F169" s="578"/>
      <c r="G169" s="578"/>
      <c r="H169" s="578"/>
      <c r="I169" s="578"/>
      <c r="J169" s="578"/>
      <c r="K169" s="578"/>
      <c r="L169" s="578"/>
      <c r="M169" s="578"/>
      <c r="N169" s="578"/>
      <c r="O169" s="578"/>
      <c r="P169" s="578"/>
      <c r="Q169" s="578"/>
      <c r="R169" s="578"/>
    </row>
    <row r="170" spans="1:19" s="117" customFormat="1" ht="25.5" customHeight="1" x14ac:dyDescent="0.2">
      <c r="A170" s="118">
        <v>12.7</v>
      </c>
      <c r="B170" s="578" t="s">
        <v>314</v>
      </c>
      <c r="C170" s="578"/>
      <c r="D170" s="578"/>
      <c r="E170" s="578"/>
      <c r="F170" s="578"/>
      <c r="G170" s="578"/>
      <c r="H170" s="578"/>
      <c r="I170" s="578"/>
      <c r="J170" s="578"/>
      <c r="K170" s="578"/>
      <c r="L170" s="578"/>
      <c r="M170" s="578"/>
      <c r="N170" s="578"/>
      <c r="O170" s="578"/>
      <c r="P170" s="578"/>
      <c r="Q170" s="578"/>
      <c r="R170" s="578"/>
    </row>
    <row r="171" spans="1:19" s="117" customFormat="1" ht="39" customHeight="1" x14ac:dyDescent="0.2">
      <c r="A171" s="118">
        <v>12.8</v>
      </c>
      <c r="B171" s="578" t="s">
        <v>315</v>
      </c>
      <c r="C171" s="578"/>
      <c r="D171" s="578"/>
      <c r="E171" s="578"/>
      <c r="F171" s="578"/>
      <c r="G171" s="578"/>
      <c r="H171" s="578"/>
      <c r="I171" s="578"/>
      <c r="J171" s="578"/>
      <c r="K171" s="578"/>
      <c r="L171" s="578"/>
      <c r="M171" s="578"/>
      <c r="N171" s="578"/>
      <c r="O171" s="578"/>
      <c r="P171" s="578"/>
      <c r="Q171" s="578"/>
      <c r="R171" s="578"/>
    </row>
    <row r="172" spans="1:19" s="117" customFormat="1" ht="15" customHeight="1" x14ac:dyDescent="0.2">
      <c r="A172" s="118">
        <v>12.9</v>
      </c>
      <c r="B172" s="578" t="s">
        <v>316</v>
      </c>
      <c r="C172" s="578"/>
      <c r="D172" s="578"/>
      <c r="E172" s="578"/>
      <c r="F172" s="578"/>
      <c r="G172" s="578"/>
      <c r="H172" s="578"/>
      <c r="I172" s="578"/>
      <c r="J172" s="578"/>
      <c r="K172" s="578"/>
      <c r="L172" s="578"/>
      <c r="M172" s="578"/>
      <c r="N172" s="578"/>
      <c r="O172" s="578"/>
      <c r="P172" s="578"/>
      <c r="Q172" s="578"/>
      <c r="R172" s="578"/>
    </row>
    <row r="173" spans="1:19" s="117" customFormat="1" ht="39" customHeight="1" x14ac:dyDescent="0.2">
      <c r="A173" s="121">
        <v>12.1</v>
      </c>
      <c r="B173" s="578" t="s">
        <v>317</v>
      </c>
      <c r="C173" s="578"/>
      <c r="D173" s="578"/>
      <c r="E173" s="578"/>
      <c r="F173" s="578"/>
      <c r="G173" s="578"/>
      <c r="H173" s="578"/>
      <c r="I173" s="578"/>
      <c r="J173" s="578"/>
      <c r="K173" s="578"/>
      <c r="L173" s="578"/>
      <c r="M173" s="578"/>
      <c r="N173" s="578"/>
      <c r="O173" s="578"/>
      <c r="P173" s="578"/>
      <c r="Q173" s="578"/>
      <c r="R173" s="578"/>
    </row>
    <row r="174" spans="1:19" s="117" customFormat="1" ht="26.25" customHeight="1" x14ac:dyDescent="0.2">
      <c r="A174" s="118">
        <v>12.11</v>
      </c>
      <c r="B174" s="578" t="s">
        <v>318</v>
      </c>
      <c r="C174" s="578"/>
      <c r="D174" s="578"/>
      <c r="E174" s="578"/>
      <c r="F174" s="578"/>
      <c r="G174" s="578"/>
      <c r="H174" s="578"/>
      <c r="I174" s="578"/>
      <c r="J174" s="578"/>
      <c r="K174" s="578"/>
      <c r="L174" s="578"/>
      <c r="M174" s="578"/>
      <c r="N174" s="578"/>
      <c r="O174" s="578"/>
      <c r="P174" s="578"/>
      <c r="Q174" s="578"/>
      <c r="R174" s="578"/>
    </row>
    <row r="175" spans="1:19" s="117" customFormat="1" ht="46.5" customHeight="1" x14ac:dyDescent="0.2">
      <c r="A175" s="590" t="s">
        <v>194</v>
      </c>
      <c r="B175" s="590"/>
      <c r="C175" s="590"/>
      <c r="D175" s="590"/>
      <c r="E175" s="590"/>
      <c r="F175" s="590"/>
      <c r="G175" s="590"/>
      <c r="H175" s="590"/>
      <c r="I175" s="590"/>
      <c r="J175" s="590"/>
      <c r="K175" s="590"/>
      <c r="L175" s="590"/>
      <c r="M175" s="590"/>
      <c r="N175" s="590"/>
      <c r="O175" s="590"/>
      <c r="P175" s="590"/>
      <c r="Q175" s="590"/>
      <c r="R175" s="590"/>
    </row>
    <row r="176" spans="1:19" s="117" customFormat="1" ht="15.75" customHeight="1" x14ac:dyDescent="0.2">
      <c r="A176" s="593" t="s">
        <v>195</v>
      </c>
      <c r="B176" s="593"/>
      <c r="C176" s="593"/>
      <c r="D176" s="593"/>
      <c r="E176" s="593"/>
      <c r="F176" s="593"/>
      <c r="G176" s="593"/>
      <c r="H176" s="593"/>
      <c r="I176" s="593"/>
      <c r="J176" s="593"/>
      <c r="K176" s="593"/>
      <c r="L176" s="593"/>
      <c r="M176" s="593"/>
      <c r="N176" s="593"/>
      <c r="O176" s="593"/>
      <c r="P176" s="593"/>
      <c r="Q176" s="593"/>
      <c r="R176" s="593"/>
    </row>
    <row r="177" spans="1:18" s="117" customFormat="1" ht="15" customHeight="1" x14ac:dyDescent="0.25">
      <c r="A177" s="116" t="s">
        <v>196</v>
      </c>
      <c r="B177" s="594" t="s">
        <v>197</v>
      </c>
      <c r="C177" s="594"/>
      <c r="D177" s="594"/>
      <c r="E177" s="594"/>
      <c r="F177" s="594"/>
      <c r="G177" s="594"/>
      <c r="H177" s="594"/>
      <c r="I177" s="594"/>
      <c r="J177" s="594"/>
      <c r="K177" s="594"/>
      <c r="L177" s="266"/>
      <c r="M177" s="594">
        <f>RECAP!C9</f>
        <v>0</v>
      </c>
      <c r="N177" s="594"/>
      <c r="O177" s="594"/>
      <c r="P177" s="594"/>
      <c r="Q177" s="594"/>
      <c r="R177" s="594"/>
    </row>
    <row r="178" spans="1:18" s="117" customFormat="1" ht="24.95" customHeight="1" x14ac:dyDescent="0.25">
      <c r="A178" s="123"/>
      <c r="B178" s="594"/>
      <c r="C178" s="594"/>
      <c r="D178" s="594"/>
      <c r="E178" s="594"/>
      <c r="F178" s="594"/>
      <c r="G178" s="594"/>
      <c r="H178" s="594"/>
      <c r="I178" s="594"/>
      <c r="J178" s="594"/>
      <c r="K178" s="594"/>
      <c r="L178" s="266"/>
      <c r="M178" s="594"/>
      <c r="N178" s="594"/>
      <c r="O178" s="594"/>
      <c r="P178" s="594"/>
      <c r="Q178" s="594"/>
      <c r="R178" s="594"/>
    </row>
    <row r="179" spans="1:18" s="117" customFormat="1" ht="15" customHeight="1" x14ac:dyDescent="0.25">
      <c r="A179" s="123"/>
      <c r="B179" s="596" t="s">
        <v>198</v>
      </c>
      <c r="C179" s="596"/>
      <c r="D179" s="596"/>
      <c r="E179" s="596"/>
      <c r="F179" s="596"/>
      <c r="G179" s="596"/>
      <c r="H179" s="596"/>
      <c r="I179" s="596"/>
      <c r="J179" s="596"/>
      <c r="K179" s="596"/>
      <c r="L179" s="266"/>
      <c r="M179" s="596" t="s">
        <v>198</v>
      </c>
      <c r="N179" s="596"/>
      <c r="O179" s="596"/>
      <c r="P179" s="596"/>
      <c r="Q179" s="596"/>
      <c r="R179" s="596"/>
    </row>
    <row r="180" spans="1:18" s="117" customFormat="1" ht="15" customHeight="1" x14ac:dyDescent="0.25">
      <c r="A180" s="123"/>
      <c r="B180" s="594"/>
      <c r="C180" s="594"/>
      <c r="D180" s="594"/>
      <c r="E180" s="594"/>
      <c r="F180" s="594"/>
      <c r="G180" s="594"/>
      <c r="H180" s="594"/>
      <c r="I180" s="594"/>
      <c r="J180" s="594"/>
      <c r="K180" s="594"/>
      <c r="L180" s="266"/>
      <c r="M180" s="594"/>
      <c r="N180" s="594"/>
      <c r="O180" s="594"/>
      <c r="P180" s="594"/>
      <c r="Q180" s="594"/>
      <c r="R180" s="594"/>
    </row>
    <row r="181" spans="1:18" s="117" customFormat="1" ht="15" customHeight="1" x14ac:dyDescent="0.2">
      <c r="A181" s="123"/>
      <c r="B181" s="595" t="s">
        <v>402</v>
      </c>
      <c r="C181" s="595"/>
      <c r="D181" s="595"/>
      <c r="E181" s="595"/>
      <c r="F181" s="595"/>
      <c r="G181" s="595"/>
      <c r="H181" s="595"/>
      <c r="I181" s="595"/>
      <c r="J181" s="595"/>
      <c r="K181" s="595"/>
      <c r="L181" s="123"/>
      <c r="M181" s="595" t="s">
        <v>403</v>
      </c>
      <c r="N181" s="595"/>
      <c r="O181" s="595"/>
      <c r="P181" s="595"/>
      <c r="Q181" s="595"/>
      <c r="R181" s="595"/>
    </row>
    <row r="182" spans="1:18" s="112" customFormat="1" ht="20.100000000000001" customHeight="1" x14ac:dyDescent="0.2">
      <c r="A182" s="113"/>
      <c r="B182" s="113"/>
      <c r="C182" s="113"/>
      <c r="D182" s="113"/>
      <c r="E182" s="113"/>
      <c r="F182" s="113"/>
      <c r="G182" s="113"/>
      <c r="H182" s="113"/>
      <c r="I182" s="113"/>
      <c r="J182" s="113"/>
      <c r="K182" s="113"/>
      <c r="L182" s="113"/>
      <c r="M182" s="113"/>
      <c r="N182" s="113"/>
      <c r="O182" s="113"/>
      <c r="P182" s="113"/>
      <c r="Q182" s="113"/>
      <c r="R182" s="113"/>
    </row>
    <row r="183" spans="1:18" s="112" customFormat="1" ht="20.100000000000001" customHeight="1" x14ac:dyDescent="0.2">
      <c r="A183" s="113"/>
      <c r="B183" s="113"/>
      <c r="C183" s="113"/>
      <c r="D183" s="113"/>
      <c r="E183" s="113"/>
      <c r="F183" s="113"/>
      <c r="G183" s="113"/>
      <c r="H183" s="113"/>
      <c r="I183" s="113"/>
      <c r="J183" s="113"/>
      <c r="K183" s="113"/>
      <c r="L183" s="113"/>
      <c r="M183" s="113"/>
      <c r="N183" s="113"/>
      <c r="O183" s="113"/>
      <c r="P183" s="113"/>
      <c r="Q183" s="113"/>
      <c r="R183" s="113"/>
    </row>
    <row r="184" spans="1:18" s="112" customFormat="1" ht="20.100000000000001" customHeight="1" x14ac:dyDescent="0.2">
      <c r="A184" s="113"/>
      <c r="B184" s="113"/>
      <c r="C184" s="113"/>
      <c r="D184" s="113"/>
      <c r="E184" s="113"/>
      <c r="F184" s="113"/>
      <c r="G184" s="113"/>
      <c r="H184" s="113"/>
      <c r="I184" s="113"/>
      <c r="J184" s="113"/>
      <c r="K184" s="113"/>
      <c r="L184" s="113"/>
      <c r="M184" s="113"/>
      <c r="N184" s="113"/>
      <c r="O184" s="113"/>
      <c r="P184" s="113"/>
      <c r="Q184" s="113"/>
      <c r="R184" s="113"/>
    </row>
    <row r="185" spans="1:18" s="112" customFormat="1" ht="20.100000000000001" customHeight="1" x14ac:dyDescent="0.2">
      <c r="A185" s="113"/>
      <c r="B185" s="113"/>
      <c r="C185" s="113"/>
      <c r="D185" s="113"/>
      <c r="E185" s="113"/>
      <c r="F185" s="113"/>
      <c r="G185" s="113"/>
      <c r="H185" s="113"/>
      <c r="I185" s="113"/>
      <c r="J185" s="113"/>
      <c r="K185" s="113"/>
      <c r="L185" s="113"/>
      <c r="M185" s="113"/>
      <c r="N185" s="113"/>
      <c r="O185" s="113"/>
      <c r="P185" s="113"/>
      <c r="Q185" s="113"/>
      <c r="R185" s="113"/>
    </row>
    <row r="186" spans="1:18" s="112" customFormat="1" ht="20.100000000000001" customHeight="1" x14ac:dyDescent="0.2">
      <c r="A186" s="113"/>
      <c r="B186" s="113"/>
      <c r="C186" s="113"/>
      <c r="D186" s="113"/>
      <c r="E186" s="113"/>
      <c r="F186" s="113"/>
      <c r="G186" s="113"/>
      <c r="H186" s="113"/>
      <c r="I186" s="113"/>
      <c r="J186" s="113"/>
      <c r="K186" s="113"/>
      <c r="L186" s="113"/>
      <c r="M186" s="113"/>
      <c r="N186" s="113"/>
      <c r="O186" s="113"/>
      <c r="P186" s="113"/>
      <c r="Q186" s="113"/>
      <c r="R186" s="113"/>
    </row>
    <row r="187" spans="1:18" s="112" customFormat="1" ht="20.100000000000001" customHeight="1" x14ac:dyDescent="0.2">
      <c r="A187" s="113"/>
      <c r="B187" s="113"/>
      <c r="C187" s="113"/>
      <c r="D187" s="113"/>
      <c r="E187" s="113"/>
      <c r="F187" s="113"/>
      <c r="G187" s="113"/>
      <c r="H187" s="113"/>
      <c r="I187" s="113"/>
      <c r="J187" s="113"/>
      <c r="K187" s="113"/>
      <c r="L187" s="113"/>
      <c r="M187" s="113"/>
      <c r="N187" s="113"/>
      <c r="O187" s="113"/>
      <c r="P187" s="113"/>
      <c r="Q187" s="113"/>
      <c r="R187" s="113"/>
    </row>
    <row r="188" spans="1:18" s="112" customFormat="1" ht="20.100000000000001" customHeight="1" x14ac:dyDescent="0.2">
      <c r="A188" s="113"/>
      <c r="B188" s="113"/>
      <c r="C188" s="113"/>
      <c r="D188" s="113"/>
      <c r="E188" s="113"/>
      <c r="F188" s="113"/>
      <c r="G188" s="113"/>
      <c r="H188" s="113"/>
      <c r="I188" s="113"/>
      <c r="J188" s="113"/>
      <c r="K188" s="113"/>
      <c r="L188" s="113"/>
      <c r="M188" s="113"/>
      <c r="N188" s="113"/>
      <c r="O188" s="113"/>
      <c r="P188" s="113"/>
      <c r="Q188" s="113"/>
      <c r="R188" s="113"/>
    </row>
    <row r="189" spans="1:18" s="112" customFormat="1" ht="20.100000000000001" customHeight="1" x14ac:dyDescent="0.2">
      <c r="A189" s="113"/>
      <c r="B189" s="113"/>
      <c r="C189" s="113"/>
      <c r="D189" s="113"/>
      <c r="E189" s="113"/>
      <c r="F189" s="113"/>
      <c r="G189" s="113"/>
      <c r="H189" s="113"/>
      <c r="I189" s="113"/>
      <c r="J189" s="113"/>
      <c r="K189" s="113"/>
      <c r="L189" s="113"/>
      <c r="M189" s="113"/>
      <c r="N189" s="113"/>
      <c r="O189" s="113"/>
      <c r="P189" s="113"/>
      <c r="Q189" s="113"/>
      <c r="R189" s="113"/>
    </row>
    <row r="190" spans="1:18" s="112" customFormat="1" ht="20.100000000000001" customHeight="1" x14ac:dyDescent="0.2">
      <c r="A190" s="113"/>
      <c r="B190" s="113"/>
      <c r="C190" s="113"/>
      <c r="D190" s="113"/>
      <c r="E190" s="113"/>
      <c r="F190" s="113"/>
      <c r="G190" s="113"/>
      <c r="H190" s="113"/>
      <c r="I190" s="113"/>
      <c r="J190" s="113"/>
      <c r="K190" s="113"/>
      <c r="L190" s="113"/>
      <c r="M190" s="113"/>
      <c r="N190" s="113"/>
      <c r="O190" s="113"/>
      <c r="P190" s="113"/>
      <c r="Q190" s="113"/>
      <c r="R190" s="113"/>
    </row>
    <row r="191" spans="1:18" s="112" customFormat="1" ht="20.100000000000001" customHeight="1" x14ac:dyDescent="0.2">
      <c r="A191" s="113"/>
      <c r="B191" s="113"/>
      <c r="C191" s="113"/>
      <c r="D191" s="113"/>
      <c r="E191" s="113"/>
      <c r="F191" s="113"/>
      <c r="G191" s="113"/>
      <c r="H191" s="113"/>
      <c r="I191" s="113"/>
      <c r="J191" s="113"/>
      <c r="K191" s="113"/>
      <c r="L191" s="113"/>
      <c r="M191" s="113"/>
      <c r="N191" s="113"/>
      <c r="O191" s="113"/>
      <c r="P191" s="113"/>
      <c r="Q191" s="113"/>
      <c r="R191" s="113"/>
    </row>
    <row r="192" spans="1:18" s="112" customFormat="1" ht="20.100000000000001" customHeight="1" x14ac:dyDescent="0.2">
      <c r="A192" s="113"/>
      <c r="B192" s="113"/>
      <c r="C192" s="113"/>
      <c r="D192" s="113"/>
      <c r="E192" s="113"/>
      <c r="F192" s="113"/>
      <c r="G192" s="113"/>
      <c r="H192" s="113"/>
      <c r="I192" s="113"/>
      <c r="J192" s="113"/>
      <c r="K192" s="113"/>
      <c r="L192" s="113"/>
      <c r="M192" s="113"/>
      <c r="N192" s="113"/>
      <c r="O192" s="113"/>
      <c r="P192" s="113"/>
      <c r="Q192" s="113"/>
      <c r="R192" s="113"/>
    </row>
    <row r="193" spans="1:18" s="112" customFormat="1" ht="20.100000000000001" customHeight="1" x14ac:dyDescent="0.2">
      <c r="A193" s="113"/>
      <c r="B193" s="113"/>
      <c r="C193" s="113"/>
      <c r="D193" s="113"/>
      <c r="E193" s="113"/>
      <c r="F193" s="113"/>
      <c r="G193" s="113"/>
      <c r="H193" s="113"/>
      <c r="I193" s="113"/>
      <c r="J193" s="113"/>
      <c r="K193" s="113"/>
      <c r="L193" s="113"/>
      <c r="M193" s="113"/>
      <c r="N193" s="113"/>
      <c r="O193" s="113"/>
      <c r="P193" s="113"/>
      <c r="Q193" s="113"/>
      <c r="R193" s="113"/>
    </row>
    <row r="194" spans="1:18" s="112" customFormat="1" ht="20.100000000000001" customHeight="1" x14ac:dyDescent="0.2">
      <c r="A194" s="113"/>
      <c r="B194" s="113"/>
      <c r="C194" s="113"/>
      <c r="D194" s="113"/>
      <c r="E194" s="113"/>
      <c r="F194" s="113"/>
      <c r="G194" s="113"/>
      <c r="H194" s="113"/>
      <c r="I194" s="113"/>
      <c r="J194" s="113"/>
      <c r="K194" s="113"/>
      <c r="L194" s="113"/>
      <c r="M194" s="113"/>
      <c r="N194" s="113"/>
      <c r="O194" s="113"/>
      <c r="P194" s="113"/>
      <c r="Q194" s="113"/>
      <c r="R194" s="113"/>
    </row>
    <row r="195" spans="1:18" s="112" customFormat="1" ht="20.100000000000001" customHeight="1" x14ac:dyDescent="0.2">
      <c r="A195" s="113"/>
      <c r="B195" s="113"/>
      <c r="C195" s="113"/>
      <c r="D195" s="113"/>
      <c r="E195" s="113"/>
      <c r="F195" s="113"/>
      <c r="G195" s="113"/>
      <c r="H195" s="113"/>
      <c r="I195" s="113"/>
      <c r="J195" s="113"/>
      <c r="K195" s="113"/>
      <c r="L195" s="113"/>
      <c r="M195" s="113"/>
      <c r="N195" s="113"/>
      <c r="O195" s="113"/>
      <c r="P195" s="113"/>
      <c r="Q195" s="113"/>
      <c r="R195" s="113"/>
    </row>
    <row r="196" spans="1:18" s="112" customFormat="1" ht="20.100000000000001" customHeight="1" x14ac:dyDescent="0.2">
      <c r="A196" s="113"/>
      <c r="B196" s="113"/>
      <c r="C196" s="113"/>
      <c r="D196" s="113"/>
      <c r="E196" s="113"/>
      <c r="F196" s="113"/>
      <c r="G196" s="113"/>
      <c r="H196" s="113"/>
      <c r="I196" s="113"/>
      <c r="J196" s="113"/>
      <c r="K196" s="113"/>
      <c r="L196" s="113"/>
      <c r="M196" s="113"/>
      <c r="N196" s="113"/>
      <c r="O196" s="113"/>
      <c r="P196" s="113"/>
      <c r="Q196" s="113"/>
      <c r="R196" s="113"/>
    </row>
    <row r="197" spans="1:18" s="112" customFormat="1" ht="20.100000000000001" customHeight="1" x14ac:dyDescent="0.2">
      <c r="A197" s="113"/>
      <c r="B197" s="113"/>
      <c r="C197" s="113"/>
      <c r="D197" s="113"/>
      <c r="E197" s="113"/>
      <c r="F197" s="113"/>
      <c r="G197" s="113"/>
      <c r="H197" s="113"/>
      <c r="I197" s="113"/>
      <c r="J197" s="113"/>
      <c r="K197" s="113"/>
      <c r="L197" s="113"/>
      <c r="M197" s="113"/>
      <c r="N197" s="113"/>
      <c r="O197" s="113"/>
      <c r="P197" s="113"/>
      <c r="Q197" s="113"/>
      <c r="R197" s="113"/>
    </row>
    <row r="198" spans="1:18" s="112" customFormat="1" ht="20.100000000000001" customHeight="1" x14ac:dyDescent="0.2">
      <c r="A198" s="113"/>
      <c r="B198" s="113"/>
      <c r="C198" s="113"/>
      <c r="D198" s="113"/>
      <c r="E198" s="113"/>
      <c r="F198" s="113"/>
      <c r="G198" s="113"/>
      <c r="H198" s="113"/>
      <c r="I198" s="113"/>
      <c r="J198" s="113"/>
      <c r="K198" s="113"/>
      <c r="L198" s="113"/>
      <c r="M198" s="113"/>
      <c r="N198" s="113"/>
      <c r="O198" s="113"/>
      <c r="P198" s="113"/>
      <c r="Q198" s="113"/>
      <c r="R198" s="113"/>
    </row>
    <row r="199" spans="1:18" s="112" customFormat="1" ht="20.100000000000001" customHeight="1" x14ac:dyDescent="0.2">
      <c r="A199" s="113"/>
      <c r="B199" s="113"/>
      <c r="C199" s="113"/>
      <c r="D199" s="113"/>
      <c r="E199" s="113"/>
      <c r="F199" s="113"/>
      <c r="G199" s="113"/>
      <c r="H199" s="113"/>
      <c r="I199" s="113"/>
      <c r="J199" s="113"/>
      <c r="K199" s="113"/>
      <c r="L199" s="113"/>
      <c r="M199" s="113"/>
      <c r="N199" s="113"/>
      <c r="O199" s="113"/>
      <c r="P199" s="113"/>
      <c r="Q199" s="113"/>
      <c r="R199" s="113"/>
    </row>
    <row r="200" spans="1:18" s="112" customFormat="1" ht="20.100000000000001" customHeight="1" x14ac:dyDescent="0.2">
      <c r="A200" s="113"/>
      <c r="B200" s="113"/>
      <c r="C200" s="113"/>
      <c r="D200" s="113"/>
      <c r="E200" s="113"/>
      <c r="F200" s="113"/>
      <c r="G200" s="113"/>
      <c r="H200" s="113"/>
      <c r="I200" s="113"/>
      <c r="J200" s="113"/>
      <c r="K200" s="113"/>
      <c r="L200" s="113"/>
      <c r="M200" s="113"/>
      <c r="N200" s="113"/>
      <c r="O200" s="113"/>
      <c r="P200" s="113"/>
      <c r="Q200" s="113"/>
      <c r="R200" s="113"/>
    </row>
    <row r="201" spans="1:18" s="112" customFormat="1" ht="20.100000000000001" customHeight="1" x14ac:dyDescent="0.2">
      <c r="A201" s="113"/>
      <c r="B201" s="113"/>
      <c r="C201" s="113"/>
      <c r="D201" s="113"/>
      <c r="E201" s="113"/>
      <c r="F201" s="113"/>
      <c r="G201" s="113"/>
      <c r="H201" s="113"/>
      <c r="I201" s="113"/>
      <c r="J201" s="113"/>
      <c r="K201" s="113"/>
      <c r="L201" s="113"/>
      <c r="M201" s="113"/>
      <c r="N201" s="113"/>
      <c r="O201" s="113"/>
      <c r="P201" s="113"/>
      <c r="Q201" s="113"/>
      <c r="R201" s="113"/>
    </row>
    <row r="202" spans="1:18" s="112" customFormat="1" ht="20.100000000000001" customHeight="1" x14ac:dyDescent="0.2">
      <c r="A202" s="113"/>
      <c r="B202" s="113"/>
      <c r="C202" s="113"/>
      <c r="D202" s="113"/>
      <c r="E202" s="113"/>
      <c r="F202" s="113"/>
      <c r="G202" s="113"/>
      <c r="H202" s="113"/>
      <c r="I202" s="113"/>
      <c r="J202" s="113"/>
      <c r="K202" s="113"/>
      <c r="L202" s="113"/>
      <c r="M202" s="113"/>
      <c r="N202" s="113"/>
      <c r="O202" s="113"/>
      <c r="P202" s="113"/>
      <c r="Q202" s="113"/>
      <c r="R202" s="113"/>
    </row>
    <row r="203" spans="1:18" s="112" customFormat="1" ht="20.100000000000001" customHeight="1" x14ac:dyDescent="0.2">
      <c r="A203" s="113"/>
      <c r="B203" s="113"/>
      <c r="C203" s="113"/>
      <c r="D203" s="113"/>
      <c r="E203" s="113"/>
      <c r="F203" s="113"/>
      <c r="G203" s="113"/>
      <c r="H203" s="113"/>
      <c r="I203" s="113"/>
      <c r="J203" s="113"/>
      <c r="K203" s="113"/>
      <c r="L203" s="113"/>
      <c r="M203" s="113"/>
      <c r="N203" s="113"/>
      <c r="O203" s="113"/>
      <c r="P203" s="113"/>
      <c r="Q203" s="113"/>
      <c r="R203" s="113"/>
    </row>
    <row r="204" spans="1:18" s="112" customFormat="1" ht="20.100000000000001" customHeight="1" x14ac:dyDescent="0.2">
      <c r="A204" s="113"/>
      <c r="B204" s="113"/>
      <c r="C204" s="113"/>
      <c r="D204" s="113"/>
      <c r="E204" s="113"/>
      <c r="F204" s="113"/>
      <c r="G204" s="113"/>
      <c r="H204" s="113"/>
      <c r="I204" s="113"/>
      <c r="J204" s="113"/>
      <c r="K204" s="113"/>
      <c r="L204" s="113"/>
      <c r="M204" s="113"/>
      <c r="N204" s="113"/>
      <c r="O204" s="113"/>
      <c r="P204" s="113"/>
      <c r="Q204" s="113"/>
      <c r="R204" s="113"/>
    </row>
    <row r="205" spans="1:18" s="112" customFormat="1" ht="20.100000000000001" customHeight="1" x14ac:dyDescent="0.2">
      <c r="A205" s="113"/>
      <c r="B205" s="113"/>
      <c r="C205" s="113"/>
      <c r="D205" s="113"/>
      <c r="E205" s="113"/>
      <c r="F205" s="113"/>
      <c r="G205" s="113"/>
      <c r="H205" s="113"/>
      <c r="I205" s="113"/>
      <c r="J205" s="113"/>
      <c r="K205" s="113"/>
      <c r="L205" s="113"/>
      <c r="M205" s="113"/>
      <c r="N205" s="113"/>
      <c r="O205" s="113"/>
      <c r="P205" s="113"/>
      <c r="Q205" s="113"/>
      <c r="R205" s="113"/>
    </row>
    <row r="206" spans="1:18" s="112" customFormat="1" ht="20.100000000000001" customHeight="1" x14ac:dyDescent="0.2">
      <c r="A206" s="113"/>
      <c r="B206" s="113"/>
      <c r="C206" s="113"/>
      <c r="D206" s="113"/>
      <c r="E206" s="113"/>
      <c r="F206" s="113"/>
      <c r="G206" s="113"/>
      <c r="H206" s="113"/>
      <c r="I206" s="113"/>
      <c r="J206" s="113"/>
      <c r="K206" s="113"/>
      <c r="L206" s="113"/>
      <c r="M206" s="113"/>
      <c r="N206" s="113"/>
      <c r="O206" s="113"/>
      <c r="P206" s="113"/>
      <c r="Q206" s="113"/>
      <c r="R206" s="113"/>
    </row>
    <row r="207" spans="1:18" s="112" customFormat="1" ht="20.100000000000001" customHeight="1" x14ac:dyDescent="0.2">
      <c r="A207" s="113"/>
      <c r="B207" s="113"/>
      <c r="C207" s="113"/>
      <c r="D207" s="113"/>
      <c r="E207" s="113"/>
      <c r="F207" s="113"/>
      <c r="G207" s="113"/>
      <c r="H207" s="113"/>
      <c r="I207" s="113"/>
      <c r="J207" s="113"/>
      <c r="K207" s="113"/>
      <c r="L207" s="113"/>
      <c r="M207" s="113"/>
      <c r="N207" s="113"/>
      <c r="O207" s="113"/>
      <c r="P207" s="113"/>
      <c r="Q207" s="113"/>
      <c r="R207" s="113"/>
    </row>
    <row r="208" spans="1:18" s="112" customFormat="1" ht="20.100000000000001" customHeight="1" x14ac:dyDescent="0.2">
      <c r="A208" s="113"/>
      <c r="B208" s="113"/>
      <c r="C208" s="113"/>
      <c r="D208" s="113"/>
      <c r="E208" s="113"/>
      <c r="F208" s="113"/>
      <c r="G208" s="113"/>
      <c r="H208" s="113"/>
      <c r="I208" s="113"/>
      <c r="J208" s="113"/>
      <c r="K208" s="113"/>
      <c r="L208" s="113"/>
      <c r="M208" s="113"/>
      <c r="N208" s="113"/>
      <c r="O208" s="113"/>
      <c r="P208" s="113"/>
      <c r="Q208" s="113"/>
      <c r="R208" s="113"/>
    </row>
    <row r="209" spans="1:18" s="112" customFormat="1" ht="20.100000000000001" customHeight="1" x14ac:dyDescent="0.2">
      <c r="A209" s="113"/>
      <c r="B209" s="113"/>
      <c r="C209" s="113"/>
      <c r="D209" s="113"/>
      <c r="E209" s="113"/>
      <c r="F209" s="113"/>
      <c r="G209" s="113"/>
      <c r="H209" s="113"/>
      <c r="I209" s="113"/>
      <c r="J209" s="113"/>
      <c r="K209" s="113"/>
      <c r="L209" s="113"/>
      <c r="M209" s="113"/>
      <c r="N209" s="113"/>
      <c r="O209" s="113"/>
      <c r="P209" s="113"/>
      <c r="Q209" s="113"/>
      <c r="R209" s="113"/>
    </row>
    <row r="210" spans="1:18" s="112" customFormat="1" ht="20.100000000000001" customHeight="1" x14ac:dyDescent="0.2">
      <c r="A210" s="113"/>
      <c r="B210" s="113"/>
      <c r="C210" s="113"/>
      <c r="D210" s="113"/>
      <c r="E210" s="113"/>
      <c r="F210" s="113"/>
      <c r="G210" s="113"/>
      <c r="H210" s="113"/>
      <c r="I210" s="113"/>
      <c r="J210" s="113"/>
      <c r="K210" s="113"/>
      <c r="L210" s="113"/>
      <c r="M210" s="113"/>
      <c r="N210" s="113"/>
      <c r="O210" s="113"/>
      <c r="P210" s="113"/>
      <c r="Q210" s="113"/>
      <c r="R210" s="113"/>
    </row>
    <row r="211" spans="1:18" s="112" customFormat="1" ht="20.100000000000001" customHeight="1" x14ac:dyDescent="0.2">
      <c r="A211" s="113"/>
      <c r="B211" s="113"/>
      <c r="C211" s="113"/>
      <c r="D211" s="113"/>
      <c r="E211" s="113"/>
      <c r="F211" s="113"/>
      <c r="G211" s="113"/>
      <c r="H211" s="113"/>
      <c r="I211" s="113"/>
      <c r="J211" s="113"/>
      <c r="K211" s="113"/>
      <c r="L211" s="113"/>
      <c r="M211" s="113"/>
      <c r="N211" s="113"/>
      <c r="O211" s="113"/>
      <c r="P211" s="113"/>
      <c r="Q211" s="113"/>
      <c r="R211" s="113"/>
    </row>
    <row r="212" spans="1:18" s="112" customFormat="1" ht="20.100000000000001" customHeight="1" x14ac:dyDescent="0.2">
      <c r="A212" s="113"/>
      <c r="B212" s="113"/>
      <c r="C212" s="113"/>
      <c r="D212" s="113"/>
      <c r="E212" s="113"/>
      <c r="F212" s="113"/>
      <c r="G212" s="113"/>
      <c r="H212" s="113"/>
      <c r="I212" s="113"/>
      <c r="J212" s="113"/>
      <c r="K212" s="113"/>
      <c r="L212" s="113"/>
      <c r="M212" s="113"/>
      <c r="N212" s="113"/>
      <c r="O212" s="113"/>
      <c r="P212" s="113"/>
      <c r="Q212" s="113"/>
      <c r="R212" s="113"/>
    </row>
    <row r="213" spans="1:18" s="112" customFormat="1" ht="20.100000000000001" customHeight="1" x14ac:dyDescent="0.2">
      <c r="A213" s="113"/>
      <c r="B213" s="113"/>
      <c r="C213" s="113"/>
      <c r="D213" s="113"/>
      <c r="E213" s="113"/>
      <c r="F213" s="113"/>
      <c r="G213" s="113"/>
      <c r="H213" s="113"/>
      <c r="I213" s="113"/>
      <c r="J213" s="113"/>
      <c r="K213" s="113"/>
      <c r="L213" s="113"/>
      <c r="M213" s="113"/>
      <c r="N213" s="113"/>
      <c r="O213" s="113"/>
      <c r="P213" s="113"/>
      <c r="Q213" s="113"/>
      <c r="R213" s="113"/>
    </row>
    <row r="214" spans="1:18" s="112" customFormat="1" ht="20.100000000000001" customHeight="1" x14ac:dyDescent="0.2">
      <c r="A214" s="113"/>
      <c r="B214" s="113"/>
      <c r="C214" s="113"/>
      <c r="D214" s="113"/>
      <c r="E214" s="113"/>
      <c r="F214" s="113"/>
      <c r="G214" s="113"/>
      <c r="H214" s="113"/>
      <c r="I214" s="113"/>
      <c r="J214" s="113"/>
      <c r="K214" s="113"/>
      <c r="L214" s="113"/>
      <c r="M214" s="113"/>
      <c r="N214" s="113"/>
      <c r="O214" s="113"/>
      <c r="P214" s="113"/>
      <c r="Q214" s="113"/>
      <c r="R214" s="113"/>
    </row>
    <row r="215" spans="1:18" s="112" customFormat="1" ht="20.100000000000001" customHeight="1" x14ac:dyDescent="0.2">
      <c r="A215" s="113"/>
      <c r="B215" s="113"/>
      <c r="C215" s="113"/>
      <c r="D215" s="113"/>
      <c r="E215" s="113"/>
      <c r="F215" s="113"/>
      <c r="G215" s="113"/>
      <c r="H215" s="113"/>
      <c r="I215" s="113"/>
      <c r="J215" s="113"/>
      <c r="K215" s="113"/>
      <c r="L215" s="113"/>
      <c r="M215" s="113"/>
      <c r="N215" s="113"/>
      <c r="O215" s="113"/>
      <c r="P215" s="113"/>
      <c r="Q215" s="113"/>
      <c r="R215" s="113"/>
    </row>
    <row r="216" spans="1:18" s="112" customFormat="1" ht="20.100000000000001" customHeight="1" x14ac:dyDescent="0.2">
      <c r="A216" s="113"/>
      <c r="B216" s="113"/>
      <c r="C216" s="113"/>
      <c r="D216" s="113"/>
      <c r="E216" s="113"/>
      <c r="F216" s="113"/>
      <c r="G216" s="113"/>
      <c r="H216" s="113"/>
      <c r="I216" s="113"/>
      <c r="J216" s="113"/>
      <c r="K216" s="113"/>
      <c r="L216" s="113"/>
      <c r="M216" s="113"/>
      <c r="N216" s="113"/>
      <c r="O216" s="113"/>
      <c r="P216" s="113"/>
      <c r="Q216" s="113"/>
      <c r="R216" s="113"/>
    </row>
    <row r="217" spans="1:18" s="112" customFormat="1" ht="20.100000000000001" customHeight="1" x14ac:dyDescent="0.2">
      <c r="A217" s="113"/>
      <c r="B217" s="113"/>
      <c r="C217" s="113"/>
      <c r="D217" s="113"/>
      <c r="E217" s="113"/>
      <c r="F217" s="113"/>
      <c r="G217" s="113"/>
      <c r="H217" s="113"/>
      <c r="I217" s="113"/>
      <c r="J217" s="113"/>
      <c r="K217" s="113"/>
      <c r="L217" s="113"/>
      <c r="M217" s="113"/>
      <c r="N217" s="113"/>
      <c r="O217" s="113"/>
      <c r="P217" s="113"/>
      <c r="Q217" s="113"/>
      <c r="R217" s="113"/>
    </row>
    <row r="218" spans="1:18" s="112" customFormat="1" ht="20.100000000000001" customHeight="1" x14ac:dyDescent="0.2">
      <c r="A218" s="113"/>
      <c r="B218" s="113"/>
      <c r="C218" s="113"/>
      <c r="D218" s="113"/>
      <c r="E218" s="113"/>
      <c r="F218" s="113"/>
      <c r="G218" s="113"/>
      <c r="H218" s="113"/>
      <c r="I218" s="113"/>
      <c r="J218" s="113"/>
      <c r="K218" s="113"/>
      <c r="L218" s="113"/>
      <c r="M218" s="113"/>
      <c r="N218" s="113"/>
      <c r="O218" s="113"/>
      <c r="P218" s="113"/>
      <c r="Q218" s="113"/>
      <c r="R218" s="113"/>
    </row>
    <row r="219" spans="1:18" s="112" customFormat="1" ht="20.100000000000001" customHeight="1" x14ac:dyDescent="0.2">
      <c r="A219" s="113"/>
      <c r="B219" s="113"/>
      <c r="C219" s="113"/>
      <c r="D219" s="113"/>
      <c r="E219" s="113"/>
      <c r="F219" s="113"/>
      <c r="G219" s="113"/>
      <c r="H219" s="113"/>
      <c r="I219" s="113"/>
      <c r="J219" s="113"/>
      <c r="K219" s="113"/>
      <c r="L219" s="113"/>
      <c r="M219" s="113"/>
      <c r="N219" s="113"/>
      <c r="O219" s="113"/>
      <c r="P219" s="113"/>
      <c r="Q219" s="113"/>
      <c r="R219" s="113"/>
    </row>
    <row r="220" spans="1:18" s="112" customFormat="1" ht="20.100000000000001" customHeight="1" x14ac:dyDescent="0.2">
      <c r="A220" s="113"/>
      <c r="B220" s="113"/>
      <c r="C220" s="113"/>
      <c r="D220" s="113"/>
      <c r="E220" s="113"/>
      <c r="F220" s="113"/>
      <c r="G220" s="113"/>
      <c r="H220" s="113"/>
      <c r="I220" s="113"/>
      <c r="J220" s="113"/>
      <c r="K220" s="113"/>
      <c r="L220" s="113"/>
      <c r="M220" s="113"/>
      <c r="N220" s="113"/>
      <c r="O220" s="113"/>
      <c r="P220" s="113"/>
      <c r="Q220" s="113"/>
      <c r="R220" s="113"/>
    </row>
    <row r="221" spans="1:18" s="112" customFormat="1" ht="20.100000000000001" customHeight="1" x14ac:dyDescent="0.2">
      <c r="A221" s="113"/>
      <c r="B221" s="113"/>
      <c r="C221" s="113"/>
      <c r="D221" s="113"/>
      <c r="E221" s="113"/>
      <c r="F221" s="113"/>
      <c r="G221" s="113"/>
      <c r="H221" s="113"/>
      <c r="I221" s="113"/>
      <c r="J221" s="113"/>
      <c r="K221" s="113"/>
      <c r="L221" s="113"/>
      <c r="M221" s="113"/>
      <c r="N221" s="113"/>
      <c r="O221" s="113"/>
      <c r="P221" s="113"/>
      <c r="Q221" s="113"/>
      <c r="R221" s="113"/>
    </row>
    <row r="222" spans="1:18" s="112" customFormat="1" ht="20.100000000000001" customHeight="1" x14ac:dyDescent="0.2">
      <c r="A222" s="113"/>
      <c r="B222" s="113"/>
      <c r="C222" s="113"/>
      <c r="D222" s="113"/>
      <c r="E222" s="113"/>
      <c r="F222" s="113"/>
      <c r="G222" s="113"/>
      <c r="H222" s="113"/>
      <c r="I222" s="113"/>
      <c r="J222" s="113"/>
      <c r="K222" s="113"/>
      <c r="L222" s="113"/>
      <c r="M222" s="113"/>
      <c r="N222" s="113"/>
      <c r="O222" s="113"/>
      <c r="P222" s="113"/>
      <c r="Q222" s="113"/>
      <c r="R222" s="113"/>
    </row>
    <row r="223" spans="1:18" s="112" customFormat="1" ht="20.100000000000001" customHeight="1" x14ac:dyDescent="0.2">
      <c r="A223" s="113"/>
      <c r="B223" s="113"/>
      <c r="C223" s="113"/>
      <c r="D223" s="113"/>
      <c r="E223" s="113"/>
      <c r="F223" s="113"/>
      <c r="G223" s="113"/>
      <c r="H223" s="113"/>
      <c r="I223" s="113"/>
      <c r="J223" s="113"/>
      <c r="K223" s="113"/>
      <c r="L223" s="113"/>
      <c r="M223" s="113"/>
      <c r="N223" s="113"/>
      <c r="O223" s="113"/>
      <c r="P223" s="113"/>
      <c r="Q223" s="113"/>
      <c r="R223" s="113"/>
    </row>
    <row r="224" spans="1:18" s="112" customFormat="1" ht="20.100000000000001" customHeight="1" x14ac:dyDescent="0.2">
      <c r="A224" s="113"/>
      <c r="B224" s="113"/>
      <c r="C224" s="113"/>
      <c r="D224" s="113"/>
      <c r="E224" s="113"/>
      <c r="F224" s="113"/>
      <c r="G224" s="113"/>
      <c r="H224" s="113"/>
      <c r="I224" s="113"/>
      <c r="J224" s="113"/>
      <c r="K224" s="113"/>
      <c r="L224" s="113"/>
      <c r="M224" s="113"/>
      <c r="N224" s="113"/>
      <c r="O224" s="113"/>
      <c r="P224" s="113"/>
      <c r="Q224" s="113"/>
      <c r="R224" s="113"/>
    </row>
    <row r="225" spans="1:18" s="112" customFormat="1" ht="20.100000000000001" customHeight="1" x14ac:dyDescent="0.2">
      <c r="A225" s="113"/>
      <c r="B225" s="113"/>
      <c r="C225" s="113"/>
      <c r="D225" s="113"/>
      <c r="E225" s="113"/>
      <c r="F225" s="113"/>
      <c r="G225" s="113"/>
      <c r="H225" s="113"/>
      <c r="I225" s="113"/>
      <c r="J225" s="113"/>
      <c r="K225" s="113"/>
      <c r="L225" s="113"/>
      <c r="M225" s="113"/>
      <c r="N225" s="113"/>
      <c r="O225" s="113"/>
      <c r="P225" s="113"/>
      <c r="Q225" s="113"/>
      <c r="R225" s="113"/>
    </row>
    <row r="226" spans="1:18" s="112" customFormat="1" ht="20.100000000000001" customHeight="1" x14ac:dyDescent="0.2">
      <c r="A226" s="113"/>
      <c r="B226" s="113"/>
      <c r="C226" s="113"/>
      <c r="D226" s="113"/>
      <c r="E226" s="113"/>
      <c r="F226" s="113"/>
      <c r="G226" s="113"/>
      <c r="H226" s="113"/>
      <c r="I226" s="113"/>
      <c r="J226" s="113"/>
      <c r="K226" s="113"/>
      <c r="L226" s="113"/>
      <c r="M226" s="113"/>
      <c r="N226" s="113"/>
      <c r="O226" s="113"/>
      <c r="P226" s="113"/>
      <c r="Q226" s="113"/>
      <c r="R226" s="113"/>
    </row>
    <row r="227" spans="1:18" s="112" customFormat="1" ht="20.100000000000001" customHeight="1" x14ac:dyDescent="0.2">
      <c r="A227" s="113"/>
      <c r="B227" s="113"/>
      <c r="C227" s="113"/>
      <c r="D227" s="113"/>
      <c r="E227" s="113"/>
      <c r="F227" s="113"/>
      <c r="G227" s="113"/>
      <c r="H227" s="113"/>
      <c r="I227" s="113"/>
      <c r="J227" s="113"/>
      <c r="K227" s="113"/>
      <c r="L227" s="113"/>
      <c r="M227" s="113"/>
      <c r="N227" s="113"/>
      <c r="O227" s="113"/>
      <c r="P227" s="113"/>
      <c r="Q227" s="113"/>
      <c r="R227" s="113"/>
    </row>
    <row r="228" spans="1:18" s="112" customFormat="1" ht="20.100000000000001" customHeight="1" x14ac:dyDescent="0.2">
      <c r="A228" s="113"/>
      <c r="B228" s="113"/>
      <c r="C228" s="113"/>
      <c r="D228" s="113"/>
      <c r="E228" s="113"/>
      <c r="F228" s="113"/>
      <c r="G228" s="113"/>
      <c r="H228" s="113"/>
      <c r="I228" s="113"/>
      <c r="J228" s="113"/>
      <c r="K228" s="113"/>
      <c r="L228" s="113"/>
      <c r="M228" s="113"/>
      <c r="N228" s="113"/>
      <c r="O228" s="113"/>
      <c r="P228" s="113"/>
      <c r="Q228" s="113"/>
      <c r="R228" s="113"/>
    </row>
    <row r="229" spans="1:18" s="112" customFormat="1" ht="20.100000000000001" customHeight="1" x14ac:dyDescent="0.2">
      <c r="A229" s="113"/>
      <c r="B229" s="113"/>
      <c r="C229" s="113"/>
      <c r="D229" s="113"/>
      <c r="E229" s="113"/>
      <c r="F229" s="113"/>
      <c r="G229" s="113"/>
      <c r="H229" s="113"/>
      <c r="I229" s="113"/>
      <c r="J229" s="113"/>
      <c r="K229" s="113"/>
      <c r="L229" s="113"/>
      <c r="M229" s="113"/>
      <c r="N229" s="113"/>
      <c r="O229" s="113"/>
      <c r="P229" s="113"/>
      <c r="Q229" s="113"/>
      <c r="R229" s="113"/>
    </row>
    <row r="230" spans="1:18" s="112" customFormat="1" ht="20.100000000000001" customHeight="1" x14ac:dyDescent="0.2">
      <c r="A230" s="113"/>
      <c r="B230" s="113"/>
      <c r="C230" s="113"/>
      <c r="D230" s="113"/>
      <c r="E230" s="113"/>
      <c r="F230" s="113"/>
      <c r="G230" s="113"/>
      <c r="H230" s="113"/>
      <c r="I230" s="113"/>
      <c r="J230" s="113"/>
      <c r="K230" s="113"/>
      <c r="L230" s="113"/>
      <c r="M230" s="113"/>
      <c r="N230" s="113"/>
      <c r="O230" s="113"/>
      <c r="P230" s="113"/>
      <c r="Q230" s="113"/>
      <c r="R230" s="113"/>
    </row>
    <row r="231" spans="1:18" s="112" customFormat="1" ht="20.100000000000001" customHeight="1" x14ac:dyDescent="0.2">
      <c r="A231" s="113"/>
      <c r="B231" s="113"/>
      <c r="C231" s="113"/>
      <c r="D231" s="113"/>
      <c r="E231" s="113"/>
      <c r="F231" s="113"/>
      <c r="G231" s="113"/>
      <c r="H231" s="113"/>
      <c r="I231" s="113"/>
      <c r="J231" s="113"/>
      <c r="K231" s="113"/>
      <c r="L231" s="113"/>
      <c r="M231" s="113"/>
      <c r="N231" s="113"/>
      <c r="O231" s="113"/>
      <c r="P231" s="113"/>
      <c r="Q231" s="113"/>
      <c r="R231" s="113"/>
    </row>
    <row r="232" spans="1:18" s="112" customFormat="1" ht="20.100000000000001" customHeight="1" x14ac:dyDescent="0.2">
      <c r="A232" s="113"/>
      <c r="B232" s="113"/>
      <c r="C232" s="113"/>
      <c r="D232" s="113"/>
      <c r="E232" s="113"/>
      <c r="F232" s="113"/>
      <c r="G232" s="113"/>
      <c r="H232" s="113"/>
      <c r="I232" s="113"/>
      <c r="J232" s="113"/>
      <c r="K232" s="113"/>
      <c r="L232" s="113"/>
      <c r="M232" s="113"/>
      <c r="N232" s="113"/>
      <c r="O232" s="113"/>
      <c r="P232" s="113"/>
      <c r="Q232" s="113"/>
      <c r="R232" s="113"/>
    </row>
    <row r="233" spans="1:18" s="112" customFormat="1" ht="20.100000000000001" customHeight="1" x14ac:dyDescent="0.2">
      <c r="A233" s="113"/>
      <c r="B233" s="113"/>
      <c r="C233" s="113"/>
      <c r="D233" s="113"/>
      <c r="E233" s="113"/>
      <c r="F233" s="113"/>
      <c r="G233" s="113"/>
      <c r="H233" s="113"/>
      <c r="I233" s="113"/>
      <c r="J233" s="113"/>
      <c r="K233" s="113"/>
      <c r="L233" s="113"/>
      <c r="M233" s="113"/>
      <c r="N233" s="113"/>
      <c r="O233" s="113"/>
      <c r="P233" s="113"/>
      <c r="Q233" s="113"/>
      <c r="R233" s="113"/>
    </row>
    <row r="234" spans="1:18" s="112" customFormat="1" ht="20.100000000000001" customHeight="1" x14ac:dyDescent="0.2">
      <c r="A234" s="113"/>
      <c r="B234" s="113"/>
      <c r="C234" s="113"/>
      <c r="D234" s="113"/>
      <c r="E234" s="113"/>
      <c r="F234" s="113"/>
      <c r="G234" s="113"/>
      <c r="H234" s="113"/>
      <c r="I234" s="113"/>
      <c r="J234" s="113"/>
      <c r="K234" s="113"/>
      <c r="L234" s="113"/>
      <c r="M234" s="113"/>
      <c r="N234" s="113"/>
      <c r="O234" s="113"/>
      <c r="P234" s="113"/>
      <c r="Q234" s="113"/>
      <c r="R234" s="113"/>
    </row>
    <row r="235" spans="1:18" s="112" customFormat="1" ht="20.100000000000001" customHeight="1" x14ac:dyDescent="0.2">
      <c r="A235" s="113"/>
      <c r="B235" s="113"/>
      <c r="C235" s="113"/>
      <c r="D235" s="113"/>
      <c r="E235" s="113"/>
      <c r="F235" s="113"/>
      <c r="G235" s="113"/>
      <c r="H235" s="113"/>
      <c r="I235" s="113"/>
      <c r="J235" s="113"/>
      <c r="K235" s="113"/>
      <c r="L235" s="113"/>
      <c r="M235" s="113"/>
      <c r="N235" s="113"/>
      <c r="O235" s="113"/>
      <c r="P235" s="113"/>
      <c r="Q235" s="113"/>
      <c r="R235" s="113"/>
    </row>
    <row r="236" spans="1:18" s="112" customFormat="1" ht="20.100000000000001" customHeight="1" x14ac:dyDescent="0.2">
      <c r="A236" s="113"/>
      <c r="B236" s="113"/>
      <c r="C236" s="113"/>
      <c r="D236" s="113"/>
      <c r="E236" s="113"/>
      <c r="F236" s="113"/>
      <c r="G236" s="113"/>
      <c r="H236" s="113"/>
      <c r="I236" s="113"/>
      <c r="J236" s="113"/>
      <c r="K236" s="113"/>
      <c r="L236" s="113"/>
      <c r="M236" s="113"/>
      <c r="N236" s="113"/>
      <c r="O236" s="113"/>
      <c r="P236" s="113"/>
      <c r="Q236" s="113"/>
      <c r="R236" s="113"/>
    </row>
    <row r="237" spans="1:18" s="112" customFormat="1" ht="20.100000000000001" customHeight="1" x14ac:dyDescent="0.2">
      <c r="A237" s="113"/>
      <c r="B237" s="113"/>
      <c r="C237" s="113"/>
      <c r="D237" s="113"/>
      <c r="E237" s="113"/>
      <c r="F237" s="113"/>
      <c r="G237" s="113"/>
      <c r="H237" s="113"/>
      <c r="I237" s="113"/>
      <c r="J237" s="113"/>
      <c r="K237" s="113"/>
      <c r="L237" s="113"/>
      <c r="M237" s="113"/>
      <c r="N237" s="113"/>
      <c r="O237" s="113"/>
      <c r="P237" s="113"/>
      <c r="Q237" s="113"/>
      <c r="R237" s="113"/>
    </row>
    <row r="238" spans="1:18" s="112" customFormat="1" ht="20.100000000000001" customHeight="1" x14ac:dyDescent="0.2">
      <c r="A238" s="113"/>
      <c r="B238" s="113"/>
      <c r="C238" s="113"/>
      <c r="D238" s="113"/>
      <c r="E238" s="113"/>
      <c r="F238" s="113"/>
      <c r="G238" s="113"/>
      <c r="H238" s="113"/>
      <c r="I238" s="113"/>
      <c r="J238" s="113"/>
      <c r="K238" s="113"/>
      <c r="L238" s="113"/>
      <c r="M238" s="113"/>
      <c r="N238" s="113"/>
      <c r="O238" s="113"/>
      <c r="P238" s="113"/>
      <c r="Q238" s="113"/>
      <c r="R238" s="113"/>
    </row>
    <row r="239" spans="1:18" s="112" customFormat="1" ht="20.100000000000001" customHeight="1" x14ac:dyDescent="0.2">
      <c r="A239" s="113"/>
      <c r="B239" s="113"/>
      <c r="C239" s="113"/>
      <c r="D239" s="113"/>
      <c r="E239" s="113"/>
      <c r="F239" s="113"/>
      <c r="G239" s="113"/>
      <c r="H239" s="113"/>
      <c r="I239" s="113"/>
      <c r="J239" s="113"/>
      <c r="K239" s="113"/>
      <c r="L239" s="113"/>
      <c r="M239" s="113"/>
      <c r="N239" s="113"/>
      <c r="O239" s="113"/>
      <c r="P239" s="113"/>
      <c r="Q239" s="113"/>
      <c r="R239" s="113"/>
    </row>
    <row r="240" spans="1:18" s="112" customFormat="1" ht="20.100000000000001" customHeight="1" x14ac:dyDescent="0.2">
      <c r="A240" s="113"/>
      <c r="B240" s="113"/>
      <c r="C240" s="113"/>
      <c r="D240" s="113"/>
      <c r="E240" s="113"/>
      <c r="F240" s="113"/>
      <c r="G240" s="113"/>
      <c r="H240" s="113"/>
      <c r="I240" s="113"/>
      <c r="J240" s="113"/>
      <c r="K240" s="113"/>
      <c r="L240" s="113"/>
      <c r="M240" s="113"/>
      <c r="N240" s="113"/>
      <c r="O240" s="113"/>
      <c r="P240" s="113"/>
      <c r="Q240" s="113"/>
      <c r="R240" s="113"/>
    </row>
    <row r="241" spans="1:18" s="112" customFormat="1" ht="20.100000000000001" customHeight="1" x14ac:dyDescent="0.2">
      <c r="A241" s="113"/>
      <c r="B241" s="113"/>
      <c r="C241" s="113"/>
      <c r="D241" s="113"/>
      <c r="E241" s="113"/>
      <c r="F241" s="113"/>
      <c r="G241" s="113"/>
      <c r="H241" s="113"/>
      <c r="I241" s="113"/>
      <c r="J241" s="113"/>
      <c r="K241" s="113"/>
      <c r="L241" s="113"/>
      <c r="M241" s="113"/>
      <c r="N241" s="113"/>
      <c r="O241" s="113"/>
      <c r="P241" s="113"/>
      <c r="Q241" s="113"/>
      <c r="R241" s="113"/>
    </row>
    <row r="242" spans="1:18" s="112" customFormat="1" ht="20.100000000000001" customHeight="1" x14ac:dyDescent="0.2">
      <c r="A242" s="113"/>
      <c r="B242" s="113"/>
      <c r="C242" s="113"/>
      <c r="D242" s="113"/>
      <c r="E242" s="113"/>
      <c r="F242" s="113"/>
      <c r="G242" s="113"/>
      <c r="H242" s="113"/>
      <c r="I242" s="113"/>
      <c r="J242" s="113"/>
      <c r="K242" s="113"/>
      <c r="L242" s="113"/>
      <c r="M242" s="113"/>
      <c r="N242" s="113"/>
      <c r="O242" s="113"/>
      <c r="P242" s="113"/>
      <c r="Q242" s="113"/>
      <c r="R242" s="113"/>
    </row>
    <row r="243" spans="1:18" s="112" customFormat="1" ht="20.100000000000001" customHeight="1" x14ac:dyDescent="0.2">
      <c r="A243" s="113"/>
      <c r="B243" s="113"/>
      <c r="C243" s="113"/>
      <c r="D243" s="113"/>
      <c r="E243" s="113"/>
      <c r="F243" s="113"/>
      <c r="G243" s="113"/>
      <c r="H243" s="113"/>
      <c r="I243" s="113"/>
      <c r="J243" s="113"/>
      <c r="K243" s="113"/>
      <c r="L243" s="113"/>
      <c r="M243" s="113"/>
      <c r="N243" s="113"/>
      <c r="O243" s="113"/>
      <c r="P243" s="113"/>
      <c r="Q243" s="113"/>
      <c r="R243" s="113"/>
    </row>
    <row r="244" spans="1:18" s="112" customFormat="1" ht="20.100000000000001" customHeight="1" x14ac:dyDescent="0.2">
      <c r="A244" s="113"/>
      <c r="B244" s="113"/>
      <c r="C244" s="113"/>
      <c r="D244" s="113"/>
      <c r="E244" s="113"/>
      <c r="F244" s="113"/>
      <c r="G244" s="113"/>
      <c r="H244" s="113"/>
      <c r="I244" s="113"/>
      <c r="J244" s="113"/>
      <c r="K244" s="113"/>
      <c r="L244" s="113"/>
      <c r="M244" s="113"/>
      <c r="N244" s="113"/>
      <c r="O244" s="113"/>
      <c r="P244" s="113"/>
      <c r="Q244" s="113"/>
      <c r="R244" s="113"/>
    </row>
    <row r="245" spans="1:18" s="112" customFormat="1" ht="20.100000000000001" customHeight="1" x14ac:dyDescent="0.2">
      <c r="A245" s="113"/>
      <c r="B245" s="113"/>
      <c r="C245" s="113"/>
      <c r="D245" s="113"/>
      <c r="E245" s="113"/>
      <c r="F245" s="113"/>
      <c r="G245" s="113"/>
      <c r="H245" s="113"/>
      <c r="I245" s="113"/>
      <c r="J245" s="113"/>
      <c r="K245" s="113"/>
      <c r="L245" s="113"/>
      <c r="M245" s="113"/>
      <c r="N245" s="113"/>
      <c r="O245" s="113"/>
      <c r="P245" s="113"/>
      <c r="Q245" s="113"/>
      <c r="R245" s="113"/>
    </row>
    <row r="246" spans="1:18" s="112" customFormat="1" ht="20.100000000000001" customHeight="1" x14ac:dyDescent="0.2">
      <c r="A246" s="113"/>
      <c r="B246" s="113"/>
      <c r="C246" s="113"/>
      <c r="D246" s="113"/>
      <c r="E246" s="113"/>
      <c r="F246" s="113"/>
      <c r="G246" s="113"/>
      <c r="H246" s="113"/>
      <c r="I246" s="113"/>
      <c r="J246" s="113"/>
      <c r="K246" s="113"/>
      <c r="L246" s="113"/>
      <c r="M246" s="113"/>
      <c r="N246" s="113"/>
      <c r="O246" s="113"/>
      <c r="P246" s="113"/>
      <c r="Q246" s="113"/>
      <c r="R246" s="113"/>
    </row>
    <row r="247" spans="1:18" s="112" customFormat="1" ht="20.100000000000001" customHeight="1" x14ac:dyDescent="0.2">
      <c r="A247" s="113"/>
      <c r="B247" s="113"/>
      <c r="C247" s="113"/>
      <c r="D247" s="113"/>
      <c r="E247" s="113"/>
      <c r="F247" s="113"/>
      <c r="G247" s="113"/>
      <c r="H247" s="113"/>
      <c r="I247" s="113"/>
      <c r="J247" s="113"/>
      <c r="K247" s="113"/>
      <c r="L247" s="113"/>
      <c r="M247" s="113"/>
      <c r="N247" s="113"/>
      <c r="O247" s="113"/>
      <c r="P247" s="113"/>
      <c r="Q247" s="113"/>
      <c r="R247" s="113"/>
    </row>
    <row r="248" spans="1:18" s="112" customFormat="1" ht="20.100000000000001" customHeight="1" x14ac:dyDescent="0.2">
      <c r="A248" s="113"/>
      <c r="B248" s="113"/>
      <c r="C248" s="113"/>
      <c r="D248" s="113"/>
      <c r="E248" s="113"/>
      <c r="F248" s="113"/>
      <c r="G248" s="113"/>
      <c r="H248" s="113"/>
      <c r="I248" s="113"/>
      <c r="J248" s="113"/>
      <c r="K248" s="113"/>
      <c r="L248" s="113"/>
      <c r="M248" s="113"/>
      <c r="N248" s="113"/>
      <c r="O248" s="113"/>
      <c r="P248" s="113"/>
      <c r="Q248" s="113"/>
      <c r="R248" s="113"/>
    </row>
    <row r="249" spans="1:18" s="112" customFormat="1" ht="20.100000000000001" customHeight="1" x14ac:dyDescent="0.2">
      <c r="A249" s="113"/>
      <c r="B249" s="113"/>
      <c r="C249" s="113"/>
      <c r="D249" s="113"/>
      <c r="E249" s="113"/>
      <c r="F249" s="113"/>
      <c r="G249" s="113"/>
      <c r="H249" s="113"/>
      <c r="I249" s="113"/>
      <c r="J249" s="113"/>
      <c r="K249" s="113"/>
      <c r="L249" s="113"/>
      <c r="M249" s="113"/>
      <c r="N249" s="113"/>
      <c r="O249" s="113"/>
      <c r="P249" s="113"/>
      <c r="Q249" s="113"/>
      <c r="R249" s="113"/>
    </row>
    <row r="250" spans="1:18" s="112" customFormat="1" ht="20.100000000000001" customHeight="1" x14ac:dyDescent="0.2">
      <c r="A250" s="113"/>
      <c r="B250" s="113"/>
      <c r="C250" s="113"/>
      <c r="D250" s="113"/>
      <c r="E250" s="113"/>
      <c r="F250" s="113"/>
      <c r="G250" s="113"/>
      <c r="H250" s="113"/>
      <c r="I250" s="113"/>
      <c r="J250" s="113"/>
      <c r="K250" s="113"/>
      <c r="L250" s="113"/>
      <c r="M250" s="113"/>
      <c r="N250" s="113"/>
      <c r="O250" s="113"/>
      <c r="P250" s="113"/>
      <c r="Q250" s="113"/>
      <c r="R250" s="113"/>
    </row>
    <row r="251" spans="1:18" s="112" customFormat="1" ht="20.100000000000001" customHeight="1" x14ac:dyDescent="0.2">
      <c r="A251" s="113"/>
      <c r="B251" s="113"/>
      <c r="C251" s="113"/>
      <c r="D251" s="113"/>
      <c r="E251" s="113"/>
      <c r="F251" s="113"/>
      <c r="G251" s="113"/>
      <c r="H251" s="113"/>
      <c r="I251" s="113"/>
      <c r="J251" s="113"/>
      <c r="K251" s="113"/>
      <c r="L251" s="113"/>
      <c r="M251" s="113"/>
      <c r="N251" s="113"/>
      <c r="O251" s="113"/>
      <c r="P251" s="113"/>
      <c r="Q251" s="113"/>
      <c r="R251" s="113"/>
    </row>
    <row r="252" spans="1:18" s="112" customFormat="1" ht="20.100000000000001" customHeight="1" x14ac:dyDescent="0.2">
      <c r="A252" s="113"/>
      <c r="B252" s="113"/>
      <c r="C252" s="113"/>
      <c r="D252" s="113"/>
      <c r="E252" s="113"/>
      <c r="F252" s="113"/>
      <c r="G252" s="113"/>
      <c r="H252" s="113"/>
      <c r="I252" s="113"/>
      <c r="J252" s="113"/>
      <c r="K252" s="113"/>
      <c r="L252" s="113"/>
      <c r="M252" s="113"/>
      <c r="N252" s="113"/>
      <c r="O252" s="113"/>
      <c r="P252" s="113"/>
      <c r="Q252" s="113"/>
      <c r="R252" s="113"/>
    </row>
    <row r="253" spans="1:18" s="112" customFormat="1" ht="20.100000000000001" customHeight="1" x14ac:dyDescent="0.2">
      <c r="A253" s="113"/>
      <c r="B253" s="113"/>
      <c r="C253" s="113"/>
      <c r="D253" s="113"/>
      <c r="E253" s="113"/>
      <c r="F253" s="113"/>
      <c r="G253" s="113"/>
      <c r="H253" s="113"/>
      <c r="I253" s="113"/>
      <c r="J253" s="113"/>
      <c r="K253" s="113"/>
      <c r="L253" s="113"/>
      <c r="M253" s="113"/>
      <c r="N253" s="113"/>
      <c r="O253" s="113"/>
      <c r="P253" s="113"/>
      <c r="Q253" s="113"/>
      <c r="R253" s="113"/>
    </row>
    <row r="254" spans="1:18" s="112" customFormat="1" ht="20.100000000000001" customHeight="1" x14ac:dyDescent="0.2">
      <c r="A254" s="113"/>
      <c r="B254" s="113"/>
      <c r="C254" s="113"/>
      <c r="D254" s="113"/>
      <c r="E254" s="113"/>
      <c r="F254" s="113"/>
      <c r="G254" s="113"/>
      <c r="H254" s="113"/>
      <c r="I254" s="113"/>
      <c r="J254" s="113"/>
      <c r="K254" s="113"/>
      <c r="L254" s="113"/>
      <c r="M254" s="113"/>
      <c r="N254" s="113"/>
      <c r="O254" s="113"/>
      <c r="P254" s="113"/>
      <c r="Q254" s="113"/>
      <c r="R254" s="113"/>
    </row>
    <row r="255" spans="1:18" s="112" customFormat="1" ht="20.100000000000001" customHeight="1" x14ac:dyDescent="0.2">
      <c r="A255" s="113"/>
      <c r="B255" s="113"/>
      <c r="C255" s="113"/>
      <c r="D255" s="113"/>
      <c r="E255" s="113"/>
      <c r="F255" s="113"/>
      <c r="G255" s="113"/>
      <c r="H255" s="113"/>
      <c r="I255" s="113"/>
      <c r="J255" s="113"/>
      <c r="K255" s="113"/>
      <c r="L255" s="113"/>
      <c r="M255" s="113"/>
      <c r="N255" s="113"/>
      <c r="O255" s="113"/>
      <c r="P255" s="113"/>
      <c r="Q255" s="113"/>
      <c r="R255" s="113"/>
    </row>
    <row r="256" spans="1:18" s="112" customFormat="1" ht="20.100000000000001" customHeight="1" x14ac:dyDescent="0.2">
      <c r="A256" s="113"/>
      <c r="B256" s="113"/>
      <c r="C256" s="113"/>
      <c r="D256" s="113"/>
      <c r="E256" s="113"/>
      <c r="F256" s="113"/>
      <c r="G256" s="113"/>
      <c r="H256" s="113"/>
      <c r="I256" s="113"/>
      <c r="J256" s="113"/>
      <c r="K256" s="113"/>
      <c r="L256" s="113"/>
      <c r="M256" s="113"/>
      <c r="N256" s="113"/>
      <c r="O256" s="113"/>
      <c r="P256" s="113"/>
      <c r="Q256" s="113"/>
      <c r="R256" s="113"/>
    </row>
    <row r="257" spans="1:18" s="112" customFormat="1" ht="20.100000000000001" customHeight="1" x14ac:dyDescent="0.2">
      <c r="A257" s="113"/>
      <c r="B257" s="113"/>
      <c r="C257" s="113"/>
      <c r="D257" s="113"/>
      <c r="E257" s="113"/>
      <c r="F257" s="113"/>
      <c r="G257" s="113"/>
      <c r="H257" s="113"/>
      <c r="I257" s="113"/>
      <c r="J257" s="113"/>
      <c r="K257" s="113"/>
      <c r="L257" s="113"/>
      <c r="M257" s="113"/>
      <c r="N257" s="113"/>
      <c r="O257" s="113"/>
      <c r="P257" s="113"/>
      <c r="Q257" s="113"/>
      <c r="R257" s="113"/>
    </row>
    <row r="258" spans="1:18" s="112" customFormat="1" ht="20.100000000000001" customHeight="1" x14ac:dyDescent="0.2">
      <c r="A258" s="113"/>
      <c r="B258" s="113"/>
      <c r="C258" s="113"/>
      <c r="D258" s="113"/>
      <c r="E258" s="113"/>
      <c r="F258" s="113"/>
      <c r="G258" s="113"/>
      <c r="H258" s="113"/>
      <c r="I258" s="113"/>
      <c r="J258" s="113"/>
      <c r="K258" s="113"/>
      <c r="L258" s="113"/>
      <c r="M258" s="113"/>
      <c r="N258" s="113"/>
      <c r="O258" s="113"/>
      <c r="P258" s="113"/>
      <c r="Q258" s="113"/>
      <c r="R258" s="113"/>
    </row>
    <row r="259" spans="1:18" s="112" customFormat="1" ht="20.100000000000001" customHeight="1" x14ac:dyDescent="0.2">
      <c r="A259" s="113"/>
      <c r="B259" s="113"/>
      <c r="C259" s="113"/>
      <c r="D259" s="113"/>
      <c r="E259" s="113"/>
      <c r="F259" s="113"/>
      <c r="G259" s="113"/>
      <c r="H259" s="113"/>
      <c r="I259" s="113"/>
      <c r="J259" s="113"/>
      <c r="K259" s="113"/>
      <c r="L259" s="113"/>
      <c r="M259" s="113"/>
      <c r="N259" s="113"/>
      <c r="O259" s="113"/>
      <c r="P259" s="113"/>
      <c r="Q259" s="113"/>
      <c r="R259" s="113"/>
    </row>
    <row r="260" spans="1:18" s="112" customFormat="1" ht="20.100000000000001" customHeight="1" x14ac:dyDescent="0.2">
      <c r="A260" s="113"/>
      <c r="B260" s="113"/>
      <c r="C260" s="113"/>
      <c r="D260" s="113"/>
      <c r="E260" s="113"/>
      <c r="F260" s="113"/>
      <c r="G260" s="113"/>
      <c r="H260" s="113"/>
      <c r="I260" s="113"/>
      <c r="J260" s="113"/>
      <c r="K260" s="113"/>
      <c r="L260" s="113"/>
      <c r="M260" s="113"/>
      <c r="N260" s="113"/>
      <c r="O260" s="113"/>
      <c r="P260" s="113"/>
      <c r="Q260" s="113"/>
      <c r="R260" s="113"/>
    </row>
    <row r="261" spans="1:18" s="112" customFormat="1" ht="20.100000000000001" customHeight="1" x14ac:dyDescent="0.2">
      <c r="A261" s="113"/>
      <c r="B261" s="113"/>
      <c r="C261" s="113"/>
      <c r="D261" s="113"/>
      <c r="E261" s="113"/>
      <c r="F261" s="113"/>
      <c r="G261" s="113"/>
      <c r="H261" s="113"/>
      <c r="I261" s="113"/>
      <c r="J261" s="113"/>
      <c r="K261" s="113"/>
      <c r="L261" s="113"/>
      <c r="M261" s="113"/>
      <c r="N261" s="113"/>
      <c r="O261" s="113"/>
      <c r="P261" s="113"/>
      <c r="Q261" s="113"/>
      <c r="R261" s="113"/>
    </row>
    <row r="262" spans="1:18" s="112" customFormat="1" ht="20.100000000000001" customHeight="1" x14ac:dyDescent="0.2">
      <c r="A262" s="113"/>
      <c r="B262" s="113"/>
      <c r="C262" s="113"/>
      <c r="D262" s="113"/>
      <c r="E262" s="113"/>
      <c r="F262" s="113"/>
      <c r="G262" s="113"/>
      <c r="H262" s="113"/>
      <c r="I262" s="113"/>
      <c r="J262" s="113"/>
      <c r="K262" s="113"/>
      <c r="L262" s="113"/>
      <c r="M262" s="113"/>
      <c r="N262" s="113"/>
      <c r="O262" s="113"/>
      <c r="P262" s="113"/>
      <c r="Q262" s="113"/>
      <c r="R262" s="113"/>
    </row>
    <row r="263" spans="1:18" s="112" customFormat="1" ht="20.100000000000001" customHeight="1" x14ac:dyDescent="0.2">
      <c r="A263" s="113"/>
      <c r="B263" s="113"/>
      <c r="C263" s="113"/>
      <c r="D263" s="113"/>
      <c r="E263" s="113"/>
      <c r="F263" s="113"/>
      <c r="G263" s="113"/>
      <c r="H263" s="113"/>
      <c r="I263" s="113"/>
      <c r="J263" s="113"/>
      <c r="K263" s="113"/>
      <c r="L263" s="113"/>
      <c r="M263" s="113"/>
      <c r="N263" s="113"/>
      <c r="O263" s="113"/>
      <c r="P263" s="113"/>
      <c r="Q263" s="113"/>
      <c r="R263" s="113"/>
    </row>
    <row r="264" spans="1:18" s="112" customFormat="1" ht="20.100000000000001" customHeight="1" x14ac:dyDescent="0.2">
      <c r="A264" s="113"/>
      <c r="B264" s="113"/>
      <c r="C264" s="113"/>
      <c r="D264" s="113"/>
      <c r="E264" s="113"/>
      <c r="F264" s="113"/>
      <c r="G264" s="113"/>
      <c r="H264" s="113"/>
      <c r="I264" s="113"/>
      <c r="J264" s="113"/>
      <c r="K264" s="113"/>
      <c r="L264" s="113"/>
      <c r="M264" s="113"/>
      <c r="N264" s="113"/>
      <c r="O264" s="113"/>
      <c r="P264" s="113"/>
      <c r="Q264" s="113"/>
      <c r="R264" s="113"/>
    </row>
    <row r="265" spans="1:18" s="112" customFormat="1" ht="20.100000000000001" customHeight="1" x14ac:dyDescent="0.2">
      <c r="A265" s="113"/>
      <c r="B265" s="113"/>
      <c r="C265" s="113"/>
      <c r="D265" s="113"/>
      <c r="E265" s="113"/>
      <c r="F265" s="113"/>
      <c r="G265" s="113"/>
      <c r="H265" s="113"/>
      <c r="I265" s="113"/>
      <c r="J265" s="113"/>
      <c r="K265" s="113"/>
      <c r="L265" s="113"/>
      <c r="M265" s="113"/>
      <c r="N265" s="113"/>
      <c r="O265" s="113"/>
      <c r="P265" s="113"/>
      <c r="Q265" s="113"/>
      <c r="R265" s="113"/>
    </row>
    <row r="266" spans="1:18" s="112" customFormat="1" ht="20.100000000000001" customHeight="1" x14ac:dyDescent="0.2">
      <c r="A266" s="113"/>
      <c r="B266" s="113"/>
      <c r="C266" s="113"/>
      <c r="D266" s="113"/>
      <c r="E266" s="113"/>
      <c r="F266" s="113"/>
      <c r="G266" s="113"/>
      <c r="H266" s="113"/>
      <c r="I266" s="113"/>
      <c r="J266" s="113"/>
      <c r="K266" s="113"/>
      <c r="L266" s="113"/>
      <c r="M266" s="113"/>
      <c r="N266" s="113"/>
      <c r="O266" s="113"/>
      <c r="P266" s="113"/>
      <c r="Q266" s="113"/>
      <c r="R266" s="113"/>
    </row>
    <row r="267" spans="1:18" s="112" customFormat="1" ht="20.100000000000001" customHeight="1" x14ac:dyDescent="0.2">
      <c r="A267" s="113"/>
      <c r="B267" s="113"/>
      <c r="C267" s="113"/>
      <c r="D267" s="113"/>
      <c r="E267" s="113"/>
      <c r="F267" s="113"/>
      <c r="G267" s="113"/>
      <c r="H267" s="113"/>
      <c r="I267" s="113"/>
      <c r="J267" s="113"/>
      <c r="K267" s="113"/>
      <c r="L267" s="113"/>
      <c r="M267" s="113"/>
      <c r="N267" s="113"/>
      <c r="O267" s="113"/>
      <c r="P267" s="113"/>
      <c r="Q267" s="113"/>
      <c r="R267" s="113"/>
    </row>
    <row r="268" spans="1:18" s="112" customFormat="1" ht="20.100000000000001" customHeight="1" x14ac:dyDescent="0.2">
      <c r="A268" s="113"/>
      <c r="B268" s="113"/>
      <c r="C268" s="113"/>
      <c r="D268" s="113"/>
      <c r="E268" s="113"/>
      <c r="F268" s="113"/>
      <c r="G268" s="113"/>
      <c r="H268" s="113"/>
      <c r="I268" s="113"/>
      <c r="J268" s="113"/>
      <c r="K268" s="113"/>
      <c r="L268" s="113"/>
      <c r="M268" s="113"/>
      <c r="N268" s="113"/>
      <c r="O268" s="113"/>
      <c r="P268" s="113"/>
      <c r="Q268" s="113"/>
      <c r="R268" s="113"/>
    </row>
    <row r="269" spans="1:18" s="112" customFormat="1" ht="20.100000000000001" customHeight="1" x14ac:dyDescent="0.2">
      <c r="A269" s="113"/>
      <c r="B269" s="113"/>
      <c r="C269" s="113"/>
      <c r="D269" s="113"/>
      <c r="E269" s="113"/>
      <c r="F269" s="113"/>
      <c r="G269" s="113"/>
      <c r="H269" s="113"/>
      <c r="I269" s="113"/>
      <c r="J269" s="113"/>
      <c r="K269" s="113"/>
      <c r="L269" s="113"/>
      <c r="M269" s="113"/>
      <c r="N269" s="113"/>
      <c r="O269" s="113"/>
      <c r="P269" s="113"/>
      <c r="Q269" s="113"/>
      <c r="R269" s="113"/>
    </row>
    <row r="270" spans="1:18" s="112" customFormat="1" ht="20.100000000000001" customHeight="1" x14ac:dyDescent="0.2">
      <c r="A270" s="113"/>
      <c r="B270" s="113"/>
      <c r="C270" s="113"/>
      <c r="D270" s="113"/>
      <c r="E270" s="113"/>
      <c r="F270" s="113"/>
      <c r="G270" s="113"/>
      <c r="H270" s="113"/>
      <c r="I270" s="113"/>
      <c r="J270" s="113"/>
      <c r="K270" s="113"/>
      <c r="L270" s="113"/>
      <c r="M270" s="113"/>
      <c r="N270" s="113"/>
      <c r="O270" s="113"/>
      <c r="P270" s="113"/>
      <c r="Q270" s="113"/>
      <c r="R270" s="113"/>
    </row>
    <row r="271" spans="1:18" s="112" customFormat="1" ht="20.100000000000001" customHeight="1" x14ac:dyDescent="0.2">
      <c r="A271" s="113"/>
      <c r="B271" s="113"/>
      <c r="C271" s="113"/>
      <c r="D271" s="113"/>
      <c r="E271" s="113"/>
      <c r="F271" s="113"/>
      <c r="G271" s="113"/>
      <c r="H271" s="113"/>
      <c r="I271" s="113"/>
      <c r="J271" s="113"/>
      <c r="K271" s="113"/>
      <c r="L271" s="113"/>
      <c r="M271" s="113"/>
      <c r="N271" s="113"/>
      <c r="O271" s="113"/>
      <c r="P271" s="113"/>
      <c r="Q271" s="113"/>
      <c r="R271" s="113"/>
    </row>
    <row r="272" spans="1:18" s="112" customFormat="1" ht="20.100000000000001" customHeight="1" x14ac:dyDescent="0.2">
      <c r="A272" s="113"/>
      <c r="B272" s="113"/>
      <c r="C272" s="113"/>
      <c r="D272" s="113"/>
      <c r="E272" s="113"/>
      <c r="F272" s="113"/>
      <c r="G272" s="113"/>
      <c r="H272" s="113"/>
      <c r="I272" s="113"/>
      <c r="J272" s="113"/>
      <c r="K272" s="113"/>
      <c r="L272" s="113"/>
      <c r="M272" s="113"/>
      <c r="N272" s="113"/>
      <c r="O272" s="113"/>
      <c r="P272" s="113"/>
      <c r="Q272" s="113"/>
      <c r="R272" s="113"/>
    </row>
    <row r="273" spans="1:18" s="112" customFormat="1" ht="20.100000000000001" customHeight="1" x14ac:dyDescent="0.2">
      <c r="A273" s="113"/>
      <c r="B273" s="113"/>
      <c r="C273" s="113"/>
      <c r="D273" s="113"/>
      <c r="E273" s="113"/>
      <c r="F273" s="113"/>
      <c r="G273" s="113"/>
      <c r="H273" s="113"/>
      <c r="I273" s="113"/>
      <c r="J273" s="113"/>
      <c r="K273" s="113"/>
      <c r="L273" s="113"/>
      <c r="M273" s="113"/>
      <c r="N273" s="113"/>
      <c r="O273" s="113"/>
      <c r="P273" s="113"/>
      <c r="Q273" s="113"/>
      <c r="R273" s="113"/>
    </row>
    <row r="274" spans="1:18" s="112" customFormat="1" ht="20.100000000000001" customHeight="1" x14ac:dyDescent="0.2">
      <c r="A274" s="113"/>
      <c r="B274" s="113"/>
      <c r="C274" s="113"/>
      <c r="D274" s="113"/>
      <c r="E274" s="113"/>
      <c r="F274" s="113"/>
      <c r="G274" s="113"/>
      <c r="H274" s="113"/>
      <c r="I274" s="113"/>
      <c r="J274" s="113"/>
      <c r="K274" s="113"/>
      <c r="L274" s="113"/>
      <c r="M274" s="113"/>
      <c r="N274" s="113"/>
      <c r="O274" s="113"/>
      <c r="P274" s="113"/>
      <c r="Q274" s="113"/>
      <c r="R274" s="113"/>
    </row>
    <row r="275" spans="1:18" s="112" customFormat="1" ht="20.100000000000001" customHeight="1" x14ac:dyDescent="0.2">
      <c r="A275" s="113"/>
      <c r="B275" s="113"/>
      <c r="C275" s="113"/>
      <c r="D275" s="113"/>
      <c r="E275" s="113"/>
      <c r="F275" s="113"/>
      <c r="G275" s="113"/>
      <c r="H275" s="113"/>
      <c r="I275" s="113"/>
      <c r="J275" s="113"/>
      <c r="K275" s="113"/>
      <c r="L275" s="113"/>
      <c r="M275" s="113"/>
      <c r="N275" s="113"/>
      <c r="O275" s="113"/>
      <c r="P275" s="113"/>
      <c r="Q275" s="113"/>
      <c r="R275" s="113"/>
    </row>
    <row r="276" spans="1:18" s="112" customFormat="1" ht="20.100000000000001" customHeight="1" x14ac:dyDescent="0.2">
      <c r="A276" s="113"/>
      <c r="B276" s="113"/>
      <c r="C276" s="113"/>
      <c r="D276" s="113"/>
      <c r="E276" s="113"/>
      <c r="F276" s="113"/>
      <c r="G276" s="113"/>
      <c r="H276" s="113"/>
      <c r="I276" s="113"/>
      <c r="J276" s="113"/>
      <c r="K276" s="113"/>
      <c r="L276" s="113"/>
      <c r="M276" s="113"/>
      <c r="N276" s="113"/>
      <c r="O276" s="113"/>
      <c r="P276" s="113"/>
      <c r="Q276" s="113"/>
      <c r="R276" s="113"/>
    </row>
    <row r="277" spans="1:18" s="112" customFormat="1" ht="20.100000000000001" customHeight="1" x14ac:dyDescent="0.2">
      <c r="A277" s="113"/>
      <c r="B277" s="113"/>
      <c r="C277" s="113"/>
      <c r="D277" s="113"/>
      <c r="E277" s="113"/>
      <c r="F277" s="113"/>
      <c r="G277" s="113"/>
      <c r="H277" s="113"/>
      <c r="I277" s="113"/>
      <c r="J277" s="113"/>
      <c r="K277" s="113"/>
      <c r="L277" s="113"/>
      <c r="M277" s="113"/>
      <c r="N277" s="113"/>
      <c r="O277" s="113"/>
      <c r="P277" s="113"/>
      <c r="Q277" s="113"/>
      <c r="R277" s="113"/>
    </row>
    <row r="278" spans="1:18" s="112" customFormat="1" ht="20.100000000000001" customHeight="1" x14ac:dyDescent="0.2">
      <c r="A278" s="113"/>
      <c r="B278" s="113"/>
      <c r="C278" s="113"/>
      <c r="D278" s="113"/>
      <c r="E278" s="113"/>
      <c r="F278" s="113"/>
      <c r="G278" s="113"/>
      <c r="H278" s="113"/>
      <c r="I278" s="113"/>
      <c r="J278" s="113"/>
      <c r="K278" s="113"/>
      <c r="L278" s="113"/>
      <c r="M278" s="113"/>
      <c r="N278" s="113"/>
      <c r="O278" s="113"/>
      <c r="P278" s="113"/>
      <c r="Q278" s="113"/>
      <c r="R278" s="113"/>
    </row>
    <row r="279" spans="1:18" s="112" customFormat="1" ht="20.100000000000001" customHeight="1" x14ac:dyDescent="0.2">
      <c r="A279" s="113"/>
      <c r="B279" s="113"/>
      <c r="C279" s="113"/>
      <c r="D279" s="113"/>
      <c r="E279" s="113"/>
      <c r="F279" s="113"/>
      <c r="G279" s="113"/>
      <c r="H279" s="113"/>
      <c r="I279" s="113"/>
      <c r="J279" s="113"/>
      <c r="K279" s="113"/>
      <c r="L279" s="113"/>
      <c r="M279" s="113"/>
      <c r="N279" s="113"/>
      <c r="O279" s="113"/>
      <c r="P279" s="113"/>
      <c r="Q279" s="113"/>
      <c r="R279" s="113"/>
    </row>
    <row r="280" spans="1:18" s="112" customFormat="1" ht="20.100000000000001" customHeight="1" x14ac:dyDescent="0.2">
      <c r="A280" s="113"/>
      <c r="B280" s="113"/>
      <c r="C280" s="113"/>
      <c r="D280" s="113"/>
      <c r="E280" s="113"/>
      <c r="F280" s="113"/>
      <c r="G280" s="113"/>
      <c r="H280" s="113"/>
      <c r="I280" s="113"/>
      <c r="J280" s="113"/>
      <c r="K280" s="113"/>
      <c r="L280" s="113"/>
      <c r="M280" s="113"/>
      <c r="N280" s="113"/>
      <c r="O280" s="113"/>
      <c r="P280" s="113"/>
      <c r="Q280" s="113"/>
      <c r="R280" s="113"/>
    </row>
    <row r="281" spans="1:18" s="112" customFormat="1" ht="20.100000000000001" customHeight="1" x14ac:dyDescent="0.2">
      <c r="A281" s="113"/>
      <c r="B281" s="113"/>
      <c r="C281" s="113"/>
      <c r="D281" s="113"/>
      <c r="E281" s="113"/>
      <c r="F281" s="113"/>
      <c r="G281" s="113"/>
      <c r="H281" s="113"/>
      <c r="I281" s="113"/>
      <c r="J281" s="113"/>
      <c r="K281" s="113"/>
      <c r="L281" s="113"/>
      <c r="M281" s="113"/>
      <c r="N281" s="113"/>
      <c r="O281" s="113"/>
      <c r="P281" s="113"/>
      <c r="Q281" s="113"/>
      <c r="R281" s="113"/>
    </row>
    <row r="282" spans="1:18" s="112" customFormat="1" ht="20.100000000000001" customHeight="1" x14ac:dyDescent="0.2">
      <c r="A282" s="113"/>
      <c r="B282" s="113"/>
      <c r="C282" s="113"/>
      <c r="D282" s="113"/>
      <c r="E282" s="113"/>
      <c r="F282" s="113"/>
      <c r="G282" s="113"/>
      <c r="H282" s="113"/>
      <c r="I282" s="113"/>
      <c r="J282" s="113"/>
      <c r="K282" s="113"/>
      <c r="L282" s="113"/>
      <c r="M282" s="113"/>
      <c r="N282" s="113"/>
      <c r="O282" s="113"/>
      <c r="P282" s="113"/>
      <c r="Q282" s="113"/>
      <c r="R282" s="113"/>
    </row>
    <row r="283" spans="1:18" s="112" customFormat="1" ht="20.100000000000001" customHeight="1" x14ac:dyDescent="0.2">
      <c r="A283" s="113"/>
      <c r="B283" s="113"/>
      <c r="C283" s="113"/>
      <c r="D283" s="113"/>
      <c r="E283" s="113"/>
      <c r="F283" s="113"/>
      <c r="G283" s="113"/>
      <c r="H283" s="113"/>
      <c r="I283" s="113"/>
      <c r="J283" s="113"/>
      <c r="K283" s="113"/>
      <c r="L283" s="113"/>
      <c r="M283" s="113"/>
      <c r="N283" s="113"/>
      <c r="O283" s="113"/>
      <c r="P283" s="113"/>
      <c r="Q283" s="113"/>
      <c r="R283" s="113"/>
    </row>
    <row r="284" spans="1:18" s="112" customFormat="1" ht="20.100000000000001" customHeight="1" x14ac:dyDescent="0.2">
      <c r="A284" s="113"/>
      <c r="B284" s="113"/>
      <c r="C284" s="113"/>
      <c r="D284" s="113"/>
      <c r="E284" s="113"/>
      <c r="F284" s="113"/>
      <c r="G284" s="113"/>
      <c r="H284" s="113"/>
      <c r="I284" s="113"/>
      <c r="J284" s="113"/>
      <c r="K284" s="113"/>
      <c r="L284" s="113"/>
      <c r="M284" s="113"/>
      <c r="N284" s="113"/>
      <c r="O284" s="113"/>
      <c r="P284" s="113"/>
      <c r="Q284" s="113"/>
      <c r="R284" s="113"/>
    </row>
    <row r="285" spans="1:18" s="112" customFormat="1" ht="20.100000000000001" customHeight="1" x14ac:dyDescent="0.2">
      <c r="A285" s="113"/>
      <c r="B285" s="113"/>
      <c r="C285" s="113"/>
      <c r="D285" s="113"/>
      <c r="E285" s="113"/>
      <c r="F285" s="113"/>
      <c r="G285" s="113"/>
      <c r="H285" s="113"/>
      <c r="I285" s="113"/>
      <c r="J285" s="113"/>
      <c r="K285" s="113"/>
      <c r="L285" s="113"/>
      <c r="M285" s="113"/>
      <c r="N285" s="113"/>
      <c r="O285" s="113"/>
      <c r="P285" s="113"/>
      <c r="Q285" s="113"/>
      <c r="R285" s="113"/>
    </row>
    <row r="286" spans="1:18" s="112" customFormat="1" ht="20.100000000000001" customHeight="1" x14ac:dyDescent="0.2">
      <c r="A286" s="113"/>
      <c r="B286" s="113"/>
      <c r="C286" s="113"/>
      <c r="D286" s="113"/>
      <c r="E286" s="113"/>
      <c r="F286" s="113"/>
      <c r="G286" s="113"/>
      <c r="H286" s="113"/>
      <c r="I286" s="113"/>
      <c r="J286" s="113"/>
      <c r="K286" s="113"/>
      <c r="L286" s="113"/>
      <c r="M286" s="113"/>
      <c r="N286" s="113"/>
      <c r="O286" s="113"/>
      <c r="P286" s="113"/>
      <c r="Q286" s="113"/>
      <c r="R286" s="113"/>
    </row>
    <row r="287" spans="1:18" s="112" customFormat="1" ht="20.100000000000001" customHeight="1" x14ac:dyDescent="0.2">
      <c r="A287" s="113"/>
      <c r="B287" s="113"/>
      <c r="C287" s="113"/>
      <c r="D287" s="113"/>
      <c r="E287" s="113"/>
      <c r="F287" s="113"/>
      <c r="G287" s="113"/>
      <c r="H287" s="113"/>
      <c r="I287" s="113"/>
      <c r="J287" s="113"/>
      <c r="K287" s="113"/>
      <c r="L287" s="113"/>
      <c r="M287" s="113"/>
      <c r="N287" s="113"/>
      <c r="O287" s="113"/>
      <c r="P287" s="113"/>
      <c r="Q287" s="113"/>
      <c r="R287" s="113"/>
    </row>
    <row r="288" spans="1:18" s="112" customFormat="1" ht="20.100000000000001" customHeight="1" x14ac:dyDescent="0.2">
      <c r="A288" s="113"/>
      <c r="B288" s="113"/>
      <c r="C288" s="113"/>
      <c r="D288" s="113"/>
      <c r="E288" s="113"/>
      <c r="F288" s="113"/>
      <c r="G288" s="113"/>
      <c r="H288" s="113"/>
      <c r="I288" s="113"/>
      <c r="J288" s="113"/>
      <c r="K288" s="113"/>
      <c r="L288" s="113"/>
      <c r="M288" s="113"/>
      <c r="N288" s="113"/>
      <c r="O288" s="113"/>
      <c r="P288" s="113"/>
      <c r="Q288" s="113"/>
      <c r="R288" s="113"/>
    </row>
    <row r="289" spans="1:18" s="112" customFormat="1" ht="20.100000000000001" customHeight="1" x14ac:dyDescent="0.2">
      <c r="A289" s="113"/>
      <c r="B289" s="113"/>
      <c r="C289" s="113"/>
      <c r="D289" s="113"/>
      <c r="E289" s="113"/>
      <c r="F289" s="113"/>
      <c r="G289" s="113"/>
      <c r="H289" s="113"/>
      <c r="I289" s="113"/>
      <c r="J289" s="113"/>
      <c r="K289" s="113"/>
      <c r="L289" s="113"/>
      <c r="M289" s="113"/>
      <c r="N289" s="113"/>
      <c r="O289" s="113"/>
      <c r="P289" s="113"/>
      <c r="Q289" s="113"/>
      <c r="R289" s="113"/>
    </row>
    <row r="290" spans="1:18" s="112" customFormat="1" ht="20.100000000000001" customHeight="1" x14ac:dyDescent="0.2">
      <c r="A290" s="113"/>
      <c r="B290" s="113"/>
      <c r="C290" s="113"/>
      <c r="D290" s="113"/>
      <c r="E290" s="113"/>
      <c r="F290" s="113"/>
      <c r="G290" s="113"/>
      <c r="H290" s="113"/>
      <c r="I290" s="113"/>
      <c r="J290" s="113"/>
      <c r="K290" s="113"/>
      <c r="L290" s="113"/>
      <c r="M290" s="113"/>
      <c r="N290" s="113"/>
      <c r="O290" s="113"/>
      <c r="P290" s="113"/>
      <c r="Q290" s="113"/>
      <c r="R290" s="113"/>
    </row>
    <row r="291" spans="1:18" s="112" customFormat="1" ht="20.100000000000001" customHeight="1" x14ac:dyDescent="0.2">
      <c r="A291" s="113"/>
      <c r="B291" s="113"/>
      <c r="C291" s="113"/>
      <c r="D291" s="113"/>
      <c r="E291" s="113"/>
      <c r="F291" s="113"/>
      <c r="G291" s="113"/>
      <c r="H291" s="113"/>
      <c r="I291" s="113"/>
      <c r="J291" s="113"/>
      <c r="K291" s="113"/>
      <c r="L291" s="113"/>
      <c r="M291" s="113"/>
      <c r="N291" s="113"/>
      <c r="O291" s="113"/>
      <c r="P291" s="113"/>
      <c r="Q291" s="113"/>
      <c r="R291" s="113"/>
    </row>
    <row r="292" spans="1:18" s="112" customFormat="1" ht="20.100000000000001" customHeight="1" x14ac:dyDescent="0.2">
      <c r="A292" s="113"/>
      <c r="B292" s="113"/>
      <c r="C292" s="113"/>
      <c r="D292" s="113"/>
      <c r="E292" s="113"/>
      <c r="F292" s="113"/>
      <c r="G292" s="113"/>
      <c r="H292" s="113"/>
      <c r="I292" s="113"/>
      <c r="J292" s="113"/>
      <c r="K292" s="113"/>
      <c r="L292" s="113"/>
      <c r="M292" s="113"/>
      <c r="N292" s="113"/>
      <c r="O292" s="113"/>
      <c r="P292" s="113"/>
      <c r="Q292" s="113"/>
      <c r="R292" s="113"/>
    </row>
    <row r="293" spans="1:18" s="112" customFormat="1" ht="20.100000000000001" customHeight="1" x14ac:dyDescent="0.2">
      <c r="A293" s="113"/>
      <c r="B293" s="113"/>
      <c r="C293" s="113"/>
      <c r="D293" s="113"/>
      <c r="E293" s="113"/>
      <c r="F293" s="113"/>
      <c r="G293" s="113"/>
      <c r="H293" s="113"/>
      <c r="I293" s="113"/>
      <c r="J293" s="113"/>
      <c r="K293" s="113"/>
      <c r="L293" s="113"/>
      <c r="M293" s="113"/>
      <c r="N293" s="113"/>
      <c r="O293" s="113"/>
      <c r="P293" s="113"/>
      <c r="Q293" s="113"/>
      <c r="R293" s="113"/>
    </row>
    <row r="294" spans="1:18" s="112" customFormat="1" ht="20.100000000000001" customHeight="1" x14ac:dyDescent="0.2">
      <c r="A294" s="113"/>
      <c r="B294" s="113"/>
      <c r="C294" s="113"/>
      <c r="D294" s="113"/>
      <c r="E294" s="113"/>
      <c r="F294" s="113"/>
      <c r="G294" s="113"/>
      <c r="H294" s="113"/>
      <c r="I294" s="113"/>
      <c r="J294" s="113"/>
      <c r="K294" s="113"/>
      <c r="L294" s="113"/>
      <c r="M294" s="113"/>
      <c r="N294" s="113"/>
      <c r="O294" s="113"/>
      <c r="P294" s="113"/>
      <c r="Q294" s="113"/>
      <c r="R294" s="113"/>
    </row>
    <row r="295" spans="1:18" s="112" customFormat="1" ht="20.100000000000001" customHeight="1" x14ac:dyDescent="0.2">
      <c r="A295" s="113"/>
      <c r="B295" s="113"/>
      <c r="C295" s="113"/>
      <c r="D295" s="113"/>
      <c r="E295" s="113"/>
      <c r="F295" s="113"/>
      <c r="G295" s="113"/>
      <c r="H295" s="113"/>
      <c r="I295" s="113"/>
      <c r="J295" s="113"/>
      <c r="K295" s="113"/>
      <c r="L295" s="113"/>
      <c r="M295" s="113"/>
      <c r="N295" s="113"/>
      <c r="O295" s="113"/>
      <c r="P295" s="113"/>
      <c r="Q295" s="113"/>
      <c r="R295" s="113"/>
    </row>
    <row r="296" spans="1:18" s="112" customFormat="1" ht="20.100000000000001" customHeight="1" x14ac:dyDescent="0.2">
      <c r="A296" s="113"/>
      <c r="B296" s="113"/>
      <c r="C296" s="113"/>
      <c r="D296" s="113"/>
      <c r="E296" s="113"/>
      <c r="F296" s="113"/>
      <c r="G296" s="113"/>
      <c r="H296" s="113"/>
      <c r="I296" s="113"/>
      <c r="J296" s="113"/>
      <c r="K296" s="113"/>
      <c r="L296" s="113"/>
      <c r="M296" s="113"/>
      <c r="N296" s="113"/>
      <c r="O296" s="113"/>
      <c r="P296" s="113"/>
      <c r="Q296" s="113"/>
      <c r="R296" s="113"/>
    </row>
    <row r="297" spans="1:18" s="112" customFormat="1" ht="20.100000000000001" customHeight="1" x14ac:dyDescent="0.2">
      <c r="A297" s="113"/>
      <c r="B297" s="113"/>
      <c r="C297" s="113"/>
      <c r="D297" s="113"/>
      <c r="E297" s="113"/>
      <c r="F297" s="113"/>
      <c r="G297" s="113"/>
      <c r="H297" s="113"/>
      <c r="I297" s="113"/>
      <c r="J297" s="113"/>
      <c r="K297" s="113"/>
      <c r="L297" s="113"/>
      <c r="M297" s="113"/>
      <c r="N297" s="113"/>
      <c r="O297" s="113"/>
      <c r="P297" s="113"/>
      <c r="Q297" s="113"/>
      <c r="R297" s="113"/>
    </row>
    <row r="298" spans="1:18" s="112" customFormat="1" ht="20.100000000000001" customHeight="1" x14ac:dyDescent="0.2">
      <c r="A298" s="113"/>
      <c r="B298" s="113"/>
      <c r="C298" s="113"/>
      <c r="D298" s="113"/>
      <c r="E298" s="113"/>
      <c r="F298" s="113"/>
      <c r="G298" s="113"/>
      <c r="H298" s="113"/>
      <c r="I298" s="113"/>
      <c r="J298" s="113"/>
      <c r="K298" s="113"/>
      <c r="L298" s="113"/>
      <c r="M298" s="113"/>
      <c r="N298" s="113"/>
      <c r="O298" s="113"/>
      <c r="P298" s="113"/>
      <c r="Q298" s="113"/>
      <c r="R298" s="113"/>
    </row>
    <row r="299" spans="1:18" s="112" customFormat="1" ht="20.100000000000001" customHeight="1" x14ac:dyDescent="0.2">
      <c r="A299" s="113"/>
      <c r="B299" s="113"/>
      <c r="C299" s="113"/>
      <c r="D299" s="113"/>
      <c r="E299" s="113"/>
      <c r="F299" s="113"/>
      <c r="G299" s="113"/>
      <c r="H299" s="113"/>
      <c r="I299" s="113"/>
      <c r="J299" s="113"/>
      <c r="K299" s="113"/>
      <c r="L299" s="113"/>
      <c r="M299" s="113"/>
      <c r="N299" s="113"/>
      <c r="O299" s="113"/>
      <c r="P299" s="113"/>
      <c r="Q299" s="113"/>
      <c r="R299" s="113"/>
    </row>
    <row r="300" spans="1:18" s="112" customFormat="1" ht="20.100000000000001" customHeight="1" x14ac:dyDescent="0.2">
      <c r="A300" s="113"/>
      <c r="B300" s="113"/>
      <c r="C300" s="113"/>
      <c r="D300" s="113"/>
      <c r="E300" s="113"/>
      <c r="F300" s="113"/>
      <c r="G300" s="113"/>
      <c r="H300" s="113"/>
      <c r="I300" s="113"/>
      <c r="J300" s="113"/>
      <c r="K300" s="113"/>
      <c r="L300" s="113"/>
      <c r="M300" s="113"/>
      <c r="N300" s="113"/>
      <c r="O300" s="113"/>
      <c r="P300" s="113"/>
      <c r="Q300" s="113"/>
      <c r="R300" s="113"/>
    </row>
    <row r="301" spans="1:18" s="112" customFormat="1" ht="20.100000000000001" customHeight="1" x14ac:dyDescent="0.2">
      <c r="A301" s="113"/>
      <c r="B301" s="113"/>
      <c r="C301" s="113"/>
      <c r="D301" s="113"/>
      <c r="E301" s="113"/>
      <c r="F301" s="113"/>
      <c r="G301" s="113"/>
      <c r="H301" s="113"/>
      <c r="I301" s="113"/>
      <c r="J301" s="113"/>
      <c r="K301" s="113"/>
      <c r="L301" s="113"/>
      <c r="M301" s="113"/>
      <c r="N301" s="113"/>
      <c r="O301" s="113"/>
      <c r="P301" s="113"/>
      <c r="Q301" s="113"/>
      <c r="R301" s="113"/>
    </row>
    <row r="302" spans="1:18" s="112" customFormat="1" ht="20.100000000000001" customHeight="1" x14ac:dyDescent="0.2">
      <c r="A302" s="113"/>
      <c r="B302" s="113"/>
      <c r="C302" s="113"/>
      <c r="D302" s="113"/>
      <c r="E302" s="113"/>
      <c r="F302" s="113"/>
      <c r="G302" s="113"/>
      <c r="H302" s="113"/>
      <c r="I302" s="113"/>
      <c r="J302" s="113"/>
      <c r="K302" s="113"/>
      <c r="L302" s="113"/>
      <c r="M302" s="113"/>
      <c r="N302" s="113"/>
      <c r="O302" s="113"/>
      <c r="P302" s="113"/>
      <c r="Q302" s="113"/>
      <c r="R302" s="113"/>
    </row>
    <row r="303" spans="1:18" s="112" customFormat="1" ht="20.100000000000001" customHeight="1" x14ac:dyDescent="0.2">
      <c r="A303" s="113"/>
      <c r="B303" s="113"/>
      <c r="C303" s="113"/>
      <c r="D303" s="113"/>
      <c r="E303" s="113"/>
      <c r="F303" s="113"/>
      <c r="G303" s="113"/>
      <c r="H303" s="113"/>
      <c r="I303" s="113"/>
      <c r="J303" s="113"/>
      <c r="K303" s="113"/>
      <c r="L303" s="113"/>
      <c r="M303" s="113"/>
      <c r="N303" s="113"/>
      <c r="O303" s="113"/>
      <c r="P303" s="113"/>
      <c r="Q303" s="113"/>
      <c r="R303" s="113"/>
    </row>
    <row r="304" spans="1:18" s="112" customFormat="1" ht="20.100000000000001" customHeight="1" x14ac:dyDescent="0.2">
      <c r="A304" s="113"/>
      <c r="B304" s="113"/>
      <c r="C304" s="113"/>
      <c r="D304" s="113"/>
      <c r="E304" s="113"/>
      <c r="F304" s="113"/>
      <c r="G304" s="113"/>
      <c r="H304" s="113"/>
      <c r="I304" s="113"/>
      <c r="J304" s="113"/>
      <c r="K304" s="113"/>
      <c r="L304" s="113"/>
      <c r="M304" s="113"/>
      <c r="N304" s="113"/>
      <c r="O304" s="113"/>
      <c r="P304" s="113"/>
      <c r="Q304" s="113"/>
      <c r="R304" s="113"/>
    </row>
    <row r="305" spans="1:18" s="112" customFormat="1" ht="20.100000000000001" customHeight="1" x14ac:dyDescent="0.2">
      <c r="A305" s="113"/>
      <c r="B305" s="113"/>
      <c r="C305" s="113"/>
      <c r="D305" s="113"/>
      <c r="E305" s="113"/>
      <c r="F305" s="113"/>
      <c r="G305" s="113"/>
      <c r="H305" s="113"/>
      <c r="I305" s="113"/>
      <c r="J305" s="113"/>
      <c r="K305" s="113"/>
      <c r="L305" s="113"/>
      <c r="M305" s="113"/>
      <c r="N305" s="113"/>
      <c r="O305" s="113"/>
      <c r="P305" s="113"/>
      <c r="Q305" s="113"/>
      <c r="R305" s="113"/>
    </row>
    <row r="306" spans="1:18" s="112" customFormat="1" ht="20.100000000000001" customHeight="1" x14ac:dyDescent="0.2">
      <c r="A306" s="113"/>
      <c r="B306" s="113"/>
      <c r="C306" s="113"/>
      <c r="D306" s="113"/>
      <c r="E306" s="113"/>
      <c r="F306" s="113"/>
      <c r="G306" s="113"/>
      <c r="H306" s="113"/>
      <c r="I306" s="113"/>
      <c r="J306" s="113"/>
      <c r="K306" s="113"/>
      <c r="L306" s="113"/>
      <c r="M306" s="113"/>
      <c r="N306" s="113"/>
      <c r="O306" s="113"/>
      <c r="P306" s="113"/>
      <c r="Q306" s="113"/>
      <c r="R306" s="113"/>
    </row>
    <row r="307" spans="1:18" s="112" customFormat="1" ht="20.100000000000001" customHeight="1" x14ac:dyDescent="0.2">
      <c r="A307" s="113"/>
      <c r="B307" s="113"/>
      <c r="C307" s="113"/>
      <c r="D307" s="113"/>
      <c r="E307" s="113"/>
      <c r="F307" s="113"/>
      <c r="G307" s="113"/>
      <c r="H307" s="113"/>
      <c r="I307" s="113"/>
      <c r="J307" s="113"/>
      <c r="K307" s="113"/>
      <c r="L307" s="113"/>
      <c r="M307" s="113"/>
      <c r="N307" s="113"/>
      <c r="O307" s="113"/>
      <c r="P307" s="113"/>
      <c r="Q307" s="113"/>
      <c r="R307" s="113"/>
    </row>
    <row r="308" spans="1:18" s="112" customFormat="1" ht="20.100000000000001" customHeight="1" x14ac:dyDescent="0.2">
      <c r="A308" s="113"/>
      <c r="B308" s="113"/>
      <c r="C308" s="113"/>
      <c r="D308" s="113"/>
      <c r="E308" s="113"/>
      <c r="F308" s="113"/>
      <c r="G308" s="113"/>
      <c r="H308" s="113"/>
      <c r="I308" s="113"/>
      <c r="J308" s="113"/>
      <c r="K308" s="113"/>
      <c r="L308" s="113"/>
      <c r="M308" s="113"/>
      <c r="N308" s="113"/>
      <c r="O308" s="113"/>
      <c r="P308" s="113"/>
      <c r="Q308" s="113"/>
      <c r="R308" s="113"/>
    </row>
    <row r="309" spans="1:18" s="112" customFormat="1" ht="20.100000000000001" customHeight="1" x14ac:dyDescent="0.2">
      <c r="A309" s="113"/>
      <c r="B309" s="113"/>
      <c r="C309" s="113"/>
      <c r="D309" s="113"/>
      <c r="E309" s="113"/>
      <c r="F309" s="113"/>
      <c r="G309" s="113"/>
      <c r="H309" s="113"/>
      <c r="I309" s="113"/>
      <c r="J309" s="113"/>
      <c r="K309" s="113"/>
      <c r="L309" s="113"/>
      <c r="M309" s="113"/>
      <c r="N309" s="113"/>
      <c r="O309" s="113"/>
      <c r="P309" s="113"/>
      <c r="Q309" s="113"/>
      <c r="R309" s="113"/>
    </row>
    <row r="310" spans="1:18" s="112" customFormat="1" ht="20.100000000000001" customHeight="1" x14ac:dyDescent="0.2">
      <c r="A310" s="113"/>
      <c r="B310" s="113"/>
      <c r="C310" s="113"/>
      <c r="D310" s="113"/>
      <c r="E310" s="113"/>
      <c r="F310" s="113"/>
      <c r="G310" s="113"/>
      <c r="H310" s="113"/>
      <c r="I310" s="113"/>
      <c r="J310" s="113"/>
      <c r="K310" s="113"/>
      <c r="L310" s="113"/>
      <c r="M310" s="113"/>
      <c r="N310" s="113"/>
      <c r="O310" s="113"/>
      <c r="P310" s="113"/>
      <c r="Q310" s="113"/>
      <c r="R310" s="113"/>
    </row>
    <row r="311" spans="1:18" s="112" customFormat="1" ht="20.100000000000001" customHeight="1" x14ac:dyDescent="0.2">
      <c r="A311" s="113"/>
      <c r="B311" s="113"/>
      <c r="C311" s="113"/>
      <c r="D311" s="113"/>
      <c r="E311" s="113"/>
      <c r="F311" s="113"/>
      <c r="G311" s="113"/>
      <c r="H311" s="113"/>
      <c r="I311" s="113"/>
      <c r="J311" s="113"/>
      <c r="K311" s="113"/>
      <c r="L311" s="113"/>
      <c r="M311" s="113"/>
      <c r="N311" s="113"/>
      <c r="O311" s="113"/>
      <c r="P311" s="113"/>
      <c r="Q311" s="113"/>
      <c r="R311" s="113"/>
    </row>
    <row r="312" spans="1:18" s="112" customFormat="1" ht="20.100000000000001" customHeight="1" x14ac:dyDescent="0.2">
      <c r="A312" s="113"/>
      <c r="B312" s="113"/>
      <c r="C312" s="113"/>
      <c r="D312" s="113"/>
      <c r="E312" s="113"/>
      <c r="F312" s="113"/>
      <c r="G312" s="113"/>
      <c r="H312" s="113"/>
      <c r="I312" s="113"/>
      <c r="J312" s="113"/>
      <c r="K312" s="113"/>
      <c r="L312" s="113"/>
      <c r="M312" s="113"/>
      <c r="N312" s="113"/>
      <c r="O312" s="113"/>
      <c r="P312" s="113"/>
      <c r="Q312" s="113"/>
      <c r="R312" s="113"/>
    </row>
    <row r="313" spans="1:18" s="112" customFormat="1" ht="20.100000000000001" customHeight="1" x14ac:dyDescent="0.2">
      <c r="A313" s="113"/>
      <c r="B313" s="113"/>
      <c r="C313" s="113"/>
      <c r="D313" s="113"/>
      <c r="E313" s="113"/>
      <c r="F313" s="113"/>
      <c r="G313" s="113"/>
      <c r="H313" s="113"/>
      <c r="I313" s="113"/>
      <c r="J313" s="113"/>
      <c r="K313" s="113"/>
      <c r="L313" s="113"/>
      <c r="M313" s="113"/>
      <c r="N313" s="113"/>
      <c r="O313" s="113"/>
      <c r="P313" s="113"/>
      <c r="Q313" s="113"/>
      <c r="R313" s="113"/>
    </row>
    <row r="314" spans="1:18" s="112" customFormat="1" ht="20.100000000000001" customHeight="1" x14ac:dyDescent="0.2">
      <c r="A314" s="113"/>
      <c r="B314" s="113"/>
      <c r="C314" s="113"/>
      <c r="D314" s="113"/>
      <c r="E314" s="113"/>
      <c r="F314" s="113"/>
      <c r="G314" s="113"/>
      <c r="H314" s="113"/>
      <c r="I314" s="113"/>
      <c r="J314" s="113"/>
      <c r="K314" s="113"/>
      <c r="L314" s="113"/>
      <c r="M314" s="113"/>
      <c r="N314" s="113"/>
      <c r="O314" s="113"/>
      <c r="P314" s="113"/>
      <c r="Q314" s="113"/>
      <c r="R314" s="113"/>
    </row>
    <row r="315" spans="1:18" s="112" customFormat="1" ht="20.100000000000001" customHeight="1" x14ac:dyDescent="0.2">
      <c r="A315" s="113"/>
      <c r="B315" s="113"/>
      <c r="C315" s="113"/>
      <c r="D315" s="113"/>
      <c r="E315" s="113"/>
      <c r="F315" s="113"/>
      <c r="G315" s="113"/>
      <c r="H315" s="113"/>
      <c r="I315" s="113"/>
      <c r="J315" s="113"/>
      <c r="K315" s="113"/>
      <c r="L315" s="113"/>
      <c r="M315" s="113"/>
      <c r="N315" s="113"/>
      <c r="O315" s="113"/>
      <c r="P315" s="113"/>
      <c r="Q315" s="113"/>
      <c r="R315" s="113"/>
    </row>
    <row r="316" spans="1:18" s="112" customFormat="1" ht="20.100000000000001" customHeight="1" x14ac:dyDescent="0.2">
      <c r="A316" s="113"/>
      <c r="B316" s="113"/>
      <c r="C316" s="113"/>
      <c r="D316" s="113"/>
      <c r="E316" s="113"/>
      <c r="F316" s="113"/>
      <c r="G316" s="113"/>
      <c r="H316" s="113"/>
      <c r="I316" s="113"/>
      <c r="J316" s="113"/>
      <c r="K316" s="113"/>
      <c r="L316" s="113"/>
      <c r="M316" s="113"/>
      <c r="N316" s="113"/>
      <c r="O316" s="113"/>
      <c r="P316" s="113"/>
      <c r="Q316" s="113"/>
      <c r="R316" s="113"/>
    </row>
    <row r="317" spans="1:18" s="112" customFormat="1" ht="20.100000000000001" customHeight="1" x14ac:dyDescent="0.2">
      <c r="A317" s="113"/>
      <c r="B317" s="113"/>
      <c r="C317" s="113"/>
      <c r="D317" s="113"/>
      <c r="E317" s="113"/>
      <c r="F317" s="113"/>
      <c r="G317" s="113"/>
      <c r="H317" s="113"/>
      <c r="I317" s="113"/>
      <c r="J317" s="113"/>
      <c r="K317" s="113"/>
      <c r="L317" s="113"/>
      <c r="M317" s="113"/>
      <c r="N317" s="113"/>
      <c r="O317" s="113"/>
      <c r="P317" s="113"/>
      <c r="Q317" s="113"/>
      <c r="R317" s="113"/>
    </row>
    <row r="318" spans="1:18" s="112" customFormat="1" ht="20.100000000000001" customHeight="1" x14ac:dyDescent="0.2">
      <c r="A318" s="113"/>
      <c r="B318" s="113"/>
      <c r="C318" s="113"/>
      <c r="D318" s="113"/>
      <c r="E318" s="113"/>
      <c r="F318" s="113"/>
      <c r="G318" s="113"/>
      <c r="H318" s="113"/>
      <c r="I318" s="113"/>
      <c r="J318" s="113"/>
      <c r="K318" s="113"/>
      <c r="L318" s="113"/>
      <c r="M318" s="113"/>
      <c r="N318" s="113"/>
      <c r="O318" s="113"/>
      <c r="P318" s="113"/>
      <c r="Q318" s="113"/>
      <c r="R318" s="113"/>
    </row>
    <row r="319" spans="1:18" s="112" customFormat="1" ht="20.100000000000001" customHeight="1" x14ac:dyDescent="0.2">
      <c r="A319" s="113"/>
      <c r="B319" s="113"/>
      <c r="C319" s="113"/>
      <c r="D319" s="113"/>
      <c r="E319" s="113"/>
      <c r="F319" s="113"/>
      <c r="G319" s="113"/>
      <c r="H319" s="113"/>
      <c r="I319" s="113"/>
      <c r="J319" s="113"/>
      <c r="K319" s="113"/>
      <c r="L319" s="113"/>
      <c r="M319" s="113"/>
      <c r="N319" s="113"/>
      <c r="O319" s="113"/>
      <c r="P319" s="113"/>
      <c r="Q319" s="113"/>
      <c r="R319" s="113"/>
    </row>
    <row r="320" spans="1:18" s="112" customFormat="1" ht="20.100000000000001" customHeight="1" x14ac:dyDescent="0.2">
      <c r="A320" s="113"/>
      <c r="B320" s="113"/>
      <c r="C320" s="113"/>
      <c r="D320" s="113"/>
      <c r="E320" s="113"/>
      <c r="F320" s="113"/>
      <c r="G320" s="113"/>
      <c r="H320" s="113"/>
      <c r="I320" s="113"/>
      <c r="J320" s="113"/>
      <c r="K320" s="113"/>
      <c r="L320" s="113"/>
      <c r="M320" s="113"/>
      <c r="N320" s="113"/>
      <c r="O320" s="113"/>
      <c r="P320" s="113"/>
      <c r="Q320" s="113"/>
      <c r="R320" s="113"/>
    </row>
    <row r="321" spans="1:18" s="112" customFormat="1" ht="20.100000000000001" customHeight="1" x14ac:dyDescent="0.2">
      <c r="A321" s="113"/>
      <c r="B321" s="113"/>
      <c r="C321" s="113"/>
      <c r="D321" s="113"/>
      <c r="E321" s="113"/>
      <c r="F321" s="113"/>
      <c r="G321" s="113"/>
      <c r="H321" s="113"/>
      <c r="I321" s="113"/>
      <c r="J321" s="113"/>
      <c r="K321" s="113"/>
      <c r="L321" s="113"/>
      <c r="M321" s="113"/>
      <c r="N321" s="113"/>
      <c r="O321" s="113"/>
      <c r="P321" s="113"/>
      <c r="Q321" s="113"/>
      <c r="R321" s="113"/>
    </row>
    <row r="322" spans="1:18" s="112" customFormat="1" ht="20.100000000000001" customHeight="1" x14ac:dyDescent="0.2">
      <c r="A322" s="113"/>
      <c r="B322" s="113"/>
      <c r="C322" s="113"/>
      <c r="D322" s="113"/>
      <c r="E322" s="113"/>
      <c r="F322" s="113"/>
      <c r="G322" s="113"/>
      <c r="H322" s="113"/>
      <c r="I322" s="113"/>
      <c r="J322" s="113"/>
      <c r="K322" s="113"/>
      <c r="L322" s="113"/>
      <c r="M322" s="113"/>
      <c r="N322" s="113"/>
      <c r="O322" s="113"/>
      <c r="P322" s="113"/>
      <c r="Q322" s="113"/>
      <c r="R322" s="113"/>
    </row>
    <row r="323" spans="1:18" s="112" customFormat="1" ht="20.100000000000001" customHeight="1" x14ac:dyDescent="0.2">
      <c r="A323" s="113"/>
      <c r="B323" s="113"/>
      <c r="C323" s="113"/>
      <c r="D323" s="113"/>
      <c r="E323" s="113"/>
      <c r="F323" s="113"/>
      <c r="G323" s="113"/>
      <c r="H323" s="113"/>
      <c r="I323" s="113"/>
      <c r="J323" s="113"/>
      <c r="K323" s="113"/>
      <c r="L323" s="113"/>
      <c r="M323" s="113"/>
      <c r="N323" s="113"/>
      <c r="O323" s="113"/>
      <c r="P323" s="113"/>
      <c r="Q323" s="113"/>
      <c r="R323" s="113"/>
    </row>
    <row r="324" spans="1:18" s="112" customFormat="1" ht="20.100000000000001" customHeight="1" x14ac:dyDescent="0.2">
      <c r="A324" s="113"/>
      <c r="B324" s="113"/>
      <c r="C324" s="113"/>
      <c r="D324" s="113"/>
      <c r="E324" s="113"/>
      <c r="F324" s="113"/>
      <c r="G324" s="113"/>
      <c r="H324" s="113"/>
      <c r="I324" s="113"/>
      <c r="J324" s="113"/>
      <c r="K324" s="113"/>
      <c r="L324" s="113"/>
      <c r="M324" s="113"/>
      <c r="N324" s="113"/>
      <c r="O324" s="113"/>
      <c r="P324" s="113"/>
      <c r="Q324" s="113"/>
      <c r="R324" s="113"/>
    </row>
    <row r="325" spans="1:18" s="112" customFormat="1" ht="20.100000000000001" customHeight="1" x14ac:dyDescent="0.2">
      <c r="A325" s="113"/>
      <c r="B325" s="113"/>
      <c r="C325" s="113"/>
      <c r="D325" s="113"/>
      <c r="E325" s="113"/>
      <c r="F325" s="113"/>
      <c r="G325" s="113"/>
      <c r="H325" s="113"/>
      <c r="I325" s="113"/>
      <c r="J325" s="113"/>
      <c r="K325" s="113"/>
      <c r="L325" s="113"/>
      <c r="M325" s="113"/>
      <c r="N325" s="113"/>
      <c r="O325" s="113"/>
      <c r="P325" s="113"/>
      <c r="Q325" s="113"/>
      <c r="R325" s="113"/>
    </row>
    <row r="326" spans="1:18" s="112" customFormat="1" ht="20.100000000000001" customHeight="1" x14ac:dyDescent="0.2">
      <c r="A326" s="113"/>
      <c r="B326" s="113"/>
      <c r="C326" s="113"/>
      <c r="D326" s="113"/>
      <c r="E326" s="113"/>
      <c r="F326" s="113"/>
      <c r="G326" s="113"/>
      <c r="H326" s="113"/>
      <c r="I326" s="113"/>
      <c r="J326" s="113"/>
      <c r="K326" s="113"/>
      <c r="L326" s="113"/>
      <c r="M326" s="113"/>
      <c r="N326" s="113"/>
      <c r="O326" s="113"/>
      <c r="P326" s="113"/>
      <c r="Q326" s="113"/>
      <c r="R326" s="113"/>
    </row>
    <row r="327" spans="1:18" s="112" customFormat="1" ht="20.100000000000001" customHeight="1" x14ac:dyDescent="0.2">
      <c r="A327" s="113"/>
      <c r="B327" s="113"/>
      <c r="C327" s="113"/>
      <c r="D327" s="113"/>
      <c r="E327" s="113"/>
      <c r="F327" s="113"/>
      <c r="G327" s="113"/>
      <c r="H327" s="113"/>
      <c r="I327" s="113"/>
      <c r="J327" s="113"/>
      <c r="K327" s="113"/>
      <c r="L327" s="113"/>
      <c r="M327" s="113"/>
      <c r="N327" s="113"/>
      <c r="O327" s="113"/>
      <c r="P327" s="113"/>
      <c r="Q327" s="113"/>
      <c r="R327" s="113"/>
    </row>
    <row r="328" spans="1:18" s="112" customFormat="1" ht="20.100000000000001" customHeight="1" x14ac:dyDescent="0.2">
      <c r="A328" s="113"/>
      <c r="B328" s="113"/>
      <c r="C328" s="113"/>
      <c r="D328" s="113"/>
      <c r="E328" s="113"/>
      <c r="F328" s="113"/>
      <c r="G328" s="113"/>
      <c r="H328" s="113"/>
      <c r="I328" s="113"/>
      <c r="J328" s="113"/>
      <c r="K328" s="113"/>
      <c r="L328" s="113"/>
      <c r="M328" s="113"/>
      <c r="N328" s="113"/>
      <c r="O328" s="113"/>
      <c r="P328" s="113"/>
      <c r="Q328" s="113"/>
      <c r="R328" s="113"/>
    </row>
    <row r="329" spans="1:18" s="112" customFormat="1" ht="20.100000000000001" customHeight="1" x14ac:dyDescent="0.2">
      <c r="A329" s="113"/>
      <c r="B329" s="113"/>
      <c r="C329" s="113"/>
      <c r="D329" s="113"/>
      <c r="E329" s="113"/>
      <c r="F329" s="113"/>
      <c r="G329" s="113"/>
      <c r="H329" s="113"/>
      <c r="I329" s="113"/>
      <c r="J329" s="113"/>
      <c r="K329" s="113"/>
      <c r="L329" s="113"/>
      <c r="M329" s="113"/>
      <c r="N329" s="113"/>
      <c r="O329" s="113"/>
      <c r="P329" s="113"/>
      <c r="Q329" s="113"/>
      <c r="R329" s="113"/>
    </row>
    <row r="330" spans="1:18" s="112" customFormat="1" ht="20.100000000000001" customHeight="1" x14ac:dyDescent="0.2">
      <c r="A330" s="113"/>
      <c r="B330" s="113"/>
      <c r="C330" s="113"/>
      <c r="D330" s="113"/>
      <c r="E330" s="113"/>
      <c r="F330" s="113"/>
      <c r="G330" s="113"/>
      <c r="H330" s="113"/>
      <c r="I330" s="113"/>
      <c r="J330" s="113"/>
      <c r="K330" s="113"/>
      <c r="L330" s="113"/>
      <c r="M330" s="113"/>
      <c r="N330" s="113"/>
      <c r="O330" s="113"/>
      <c r="P330" s="113"/>
      <c r="Q330" s="113"/>
      <c r="R330" s="113"/>
    </row>
    <row r="331" spans="1:18" s="112" customFormat="1" ht="20.100000000000001" customHeight="1" x14ac:dyDescent="0.2">
      <c r="A331" s="113"/>
      <c r="B331" s="113"/>
      <c r="C331" s="113"/>
      <c r="D331" s="113"/>
      <c r="E331" s="113"/>
      <c r="F331" s="113"/>
      <c r="G331" s="113"/>
      <c r="H331" s="113"/>
      <c r="I331" s="113"/>
      <c r="J331" s="113"/>
      <c r="K331" s="113"/>
      <c r="L331" s="113"/>
      <c r="M331" s="113"/>
      <c r="N331" s="113"/>
      <c r="O331" s="113"/>
      <c r="P331" s="113"/>
      <c r="Q331" s="113"/>
      <c r="R331" s="113"/>
    </row>
    <row r="332" spans="1:18" s="112" customFormat="1" ht="20.100000000000001" customHeight="1" x14ac:dyDescent="0.2">
      <c r="A332" s="113"/>
      <c r="B332" s="113"/>
      <c r="C332" s="113"/>
      <c r="D332" s="113"/>
      <c r="E332" s="113"/>
      <c r="F332" s="113"/>
      <c r="G332" s="113"/>
      <c r="H332" s="113"/>
      <c r="I332" s="113"/>
      <c r="J332" s="113"/>
      <c r="K332" s="113"/>
      <c r="L332" s="113"/>
      <c r="M332" s="113"/>
      <c r="N332" s="113"/>
      <c r="O332" s="113"/>
      <c r="P332" s="113"/>
      <c r="Q332" s="113"/>
      <c r="R332" s="113"/>
    </row>
    <row r="333" spans="1:18" s="112" customFormat="1" ht="20.100000000000001" customHeight="1" x14ac:dyDescent="0.2">
      <c r="A333" s="113"/>
      <c r="B333" s="113"/>
      <c r="C333" s="113"/>
      <c r="D333" s="113"/>
      <c r="E333" s="113"/>
      <c r="F333" s="113"/>
      <c r="G333" s="113"/>
      <c r="H333" s="113"/>
      <c r="I333" s="113"/>
      <c r="J333" s="113"/>
      <c r="K333" s="113"/>
      <c r="L333" s="113"/>
      <c r="M333" s="113"/>
      <c r="N333" s="113"/>
      <c r="O333" s="113"/>
      <c r="P333" s="113"/>
      <c r="Q333" s="113"/>
      <c r="R333" s="113"/>
    </row>
    <row r="334" spans="1:18" s="112" customFormat="1" ht="20.100000000000001" customHeight="1" x14ac:dyDescent="0.2">
      <c r="A334" s="113"/>
      <c r="B334" s="113"/>
      <c r="C334" s="113"/>
      <c r="D334" s="113"/>
      <c r="E334" s="113"/>
      <c r="F334" s="113"/>
      <c r="G334" s="113"/>
      <c r="H334" s="113"/>
      <c r="I334" s="113"/>
      <c r="J334" s="113"/>
      <c r="K334" s="113"/>
      <c r="L334" s="113"/>
      <c r="M334" s="113"/>
      <c r="N334" s="113"/>
      <c r="O334" s="113"/>
      <c r="P334" s="113"/>
      <c r="Q334" s="113"/>
      <c r="R334" s="113"/>
    </row>
    <row r="335" spans="1:18" s="112" customFormat="1" ht="20.100000000000001" customHeight="1" x14ac:dyDescent="0.2">
      <c r="A335" s="113"/>
      <c r="B335" s="113"/>
      <c r="C335" s="113"/>
      <c r="D335" s="113"/>
      <c r="E335" s="113"/>
      <c r="F335" s="113"/>
      <c r="G335" s="113"/>
      <c r="H335" s="113"/>
      <c r="I335" s="113"/>
      <c r="J335" s="113"/>
      <c r="K335" s="113"/>
      <c r="L335" s="113"/>
      <c r="M335" s="113"/>
      <c r="N335" s="113"/>
      <c r="O335" s="113"/>
      <c r="P335" s="113"/>
      <c r="Q335" s="113"/>
      <c r="R335" s="113"/>
    </row>
    <row r="336" spans="1:18" s="112" customFormat="1" ht="20.100000000000001" customHeight="1" x14ac:dyDescent="0.2">
      <c r="A336" s="113"/>
      <c r="B336" s="113"/>
      <c r="C336" s="113"/>
      <c r="D336" s="113"/>
      <c r="E336" s="113"/>
      <c r="F336" s="113"/>
      <c r="G336" s="113"/>
      <c r="H336" s="113"/>
      <c r="I336" s="113"/>
      <c r="J336" s="113"/>
      <c r="K336" s="113"/>
      <c r="L336" s="113"/>
      <c r="M336" s="113"/>
      <c r="N336" s="113"/>
      <c r="O336" s="113"/>
      <c r="P336" s="113"/>
      <c r="Q336" s="113"/>
      <c r="R336" s="113"/>
    </row>
    <row r="337" spans="1:18" s="112" customFormat="1" ht="20.100000000000001" customHeight="1" x14ac:dyDescent="0.2">
      <c r="A337" s="113"/>
      <c r="B337" s="113"/>
      <c r="C337" s="113"/>
      <c r="D337" s="113"/>
      <c r="E337" s="113"/>
      <c r="F337" s="113"/>
      <c r="G337" s="113"/>
      <c r="H337" s="113"/>
      <c r="I337" s="113"/>
      <c r="J337" s="113"/>
      <c r="K337" s="113"/>
      <c r="L337" s="113"/>
      <c r="M337" s="113"/>
      <c r="N337" s="113"/>
      <c r="O337" s="113"/>
      <c r="P337" s="113"/>
      <c r="Q337" s="113"/>
      <c r="R337" s="113"/>
    </row>
    <row r="338" spans="1:18" s="112" customFormat="1" ht="20.100000000000001" customHeight="1" x14ac:dyDescent="0.2">
      <c r="A338" s="113"/>
      <c r="B338" s="113"/>
      <c r="C338" s="113"/>
      <c r="D338" s="113"/>
      <c r="E338" s="113"/>
      <c r="F338" s="113"/>
      <c r="G338" s="113"/>
      <c r="H338" s="113"/>
      <c r="I338" s="113"/>
      <c r="J338" s="113"/>
      <c r="K338" s="113"/>
      <c r="L338" s="113"/>
      <c r="M338" s="113"/>
      <c r="N338" s="113"/>
      <c r="O338" s="113"/>
      <c r="P338" s="113"/>
      <c r="Q338" s="113"/>
      <c r="R338" s="113"/>
    </row>
    <row r="339" spans="1:18" s="112" customFormat="1" ht="20.100000000000001" customHeight="1" x14ac:dyDescent="0.2">
      <c r="A339" s="113"/>
      <c r="B339" s="113"/>
      <c r="C339" s="113"/>
      <c r="D339" s="113"/>
      <c r="E339" s="113"/>
      <c r="F339" s="113"/>
      <c r="G339" s="113"/>
      <c r="H339" s="113"/>
      <c r="I339" s="113"/>
      <c r="J339" s="113"/>
      <c r="K339" s="113"/>
      <c r="L339" s="113"/>
      <c r="M339" s="113"/>
      <c r="N339" s="113"/>
      <c r="O339" s="113"/>
      <c r="P339" s="113"/>
      <c r="Q339" s="113"/>
      <c r="R339" s="113"/>
    </row>
    <row r="340" spans="1:18" s="112" customFormat="1" ht="20.100000000000001" customHeight="1" x14ac:dyDescent="0.2">
      <c r="A340" s="113"/>
      <c r="B340" s="113"/>
      <c r="C340" s="113"/>
      <c r="D340" s="113"/>
      <c r="E340" s="113"/>
      <c r="F340" s="113"/>
      <c r="G340" s="113"/>
      <c r="H340" s="113"/>
      <c r="I340" s="113"/>
      <c r="J340" s="113"/>
      <c r="K340" s="113"/>
      <c r="L340" s="113"/>
      <c r="M340" s="113"/>
      <c r="N340" s="113"/>
      <c r="O340" s="113"/>
      <c r="P340" s="113"/>
      <c r="Q340" s="113"/>
      <c r="R340" s="113"/>
    </row>
    <row r="341" spans="1:18" s="112" customFormat="1" ht="20.100000000000001" customHeight="1" x14ac:dyDescent="0.2">
      <c r="A341" s="113"/>
      <c r="B341" s="113"/>
      <c r="C341" s="113"/>
      <c r="D341" s="113"/>
      <c r="E341" s="113"/>
      <c r="F341" s="113"/>
      <c r="G341" s="113"/>
      <c r="H341" s="113"/>
      <c r="I341" s="113"/>
      <c r="J341" s="113"/>
      <c r="K341" s="113"/>
      <c r="L341" s="113"/>
      <c r="M341" s="113"/>
      <c r="N341" s="113"/>
      <c r="O341" s="113"/>
      <c r="P341" s="113"/>
      <c r="Q341" s="113"/>
      <c r="R341" s="113"/>
    </row>
    <row r="342" spans="1:18" s="112" customFormat="1" ht="20.100000000000001" customHeight="1" x14ac:dyDescent="0.2">
      <c r="A342" s="113"/>
      <c r="B342" s="113"/>
      <c r="C342" s="113"/>
      <c r="D342" s="113"/>
      <c r="E342" s="113"/>
      <c r="F342" s="113"/>
      <c r="G342" s="113"/>
      <c r="H342" s="113"/>
      <c r="I342" s="113"/>
      <c r="J342" s="113"/>
      <c r="K342" s="113"/>
      <c r="L342" s="113"/>
      <c r="M342" s="113"/>
      <c r="N342" s="113"/>
      <c r="O342" s="113"/>
      <c r="P342" s="113"/>
      <c r="Q342" s="113"/>
      <c r="R342" s="113"/>
    </row>
    <row r="343" spans="1:18" s="112" customFormat="1" ht="20.100000000000001" customHeight="1" x14ac:dyDescent="0.2">
      <c r="A343" s="113"/>
      <c r="B343" s="113"/>
      <c r="C343" s="113"/>
      <c r="D343" s="113"/>
      <c r="E343" s="113"/>
      <c r="F343" s="113"/>
      <c r="G343" s="113"/>
      <c r="H343" s="113"/>
      <c r="I343" s="113"/>
      <c r="J343" s="113"/>
      <c r="K343" s="113"/>
      <c r="L343" s="113"/>
      <c r="M343" s="113"/>
      <c r="N343" s="113"/>
      <c r="O343" s="113"/>
      <c r="P343" s="113"/>
      <c r="Q343" s="113"/>
      <c r="R343" s="113"/>
    </row>
    <row r="344" spans="1:18" s="112" customFormat="1" ht="20.100000000000001" customHeight="1" x14ac:dyDescent="0.2">
      <c r="A344" s="113"/>
      <c r="B344" s="113"/>
      <c r="C344" s="113"/>
      <c r="D344" s="113"/>
      <c r="E344" s="113"/>
      <c r="F344" s="113"/>
      <c r="G344" s="113"/>
      <c r="H344" s="113"/>
      <c r="I344" s="113"/>
      <c r="J344" s="113"/>
      <c r="K344" s="113"/>
      <c r="L344" s="113"/>
      <c r="M344" s="113"/>
      <c r="N344" s="113"/>
      <c r="O344" s="113"/>
      <c r="P344" s="113"/>
      <c r="Q344" s="113"/>
      <c r="R344" s="113"/>
    </row>
    <row r="345" spans="1:18" s="112" customFormat="1" ht="20.100000000000001" customHeight="1" x14ac:dyDescent="0.2">
      <c r="A345" s="113"/>
      <c r="B345" s="113"/>
      <c r="C345" s="113"/>
      <c r="D345" s="113"/>
      <c r="E345" s="113"/>
      <c r="F345" s="113"/>
      <c r="G345" s="113"/>
      <c r="H345" s="113"/>
      <c r="I345" s="113"/>
      <c r="J345" s="113"/>
      <c r="K345" s="113"/>
      <c r="L345" s="113"/>
      <c r="M345" s="113"/>
      <c r="N345" s="113"/>
      <c r="O345" s="113"/>
      <c r="P345" s="113"/>
      <c r="Q345" s="113"/>
      <c r="R345" s="113"/>
    </row>
    <row r="346" spans="1:18" s="112" customFormat="1" ht="20.100000000000001" customHeight="1" x14ac:dyDescent="0.2">
      <c r="A346" s="113"/>
      <c r="B346" s="113"/>
      <c r="C346" s="113"/>
      <c r="D346" s="113"/>
      <c r="E346" s="113"/>
      <c r="F346" s="113"/>
      <c r="G346" s="113"/>
      <c r="H346" s="113"/>
      <c r="I346" s="113"/>
      <c r="J346" s="113"/>
      <c r="K346" s="113"/>
      <c r="L346" s="113"/>
      <c r="M346" s="113"/>
      <c r="N346" s="113"/>
      <c r="O346" s="113"/>
      <c r="P346" s="113"/>
      <c r="Q346" s="113"/>
      <c r="R346" s="113"/>
    </row>
    <row r="347" spans="1:18" s="112" customFormat="1" ht="20.100000000000001" customHeight="1" x14ac:dyDescent="0.2">
      <c r="A347" s="113"/>
      <c r="B347" s="113"/>
      <c r="C347" s="113"/>
      <c r="D347" s="113"/>
      <c r="E347" s="113"/>
      <c r="F347" s="113"/>
      <c r="G347" s="113"/>
      <c r="H347" s="113"/>
      <c r="I347" s="113"/>
      <c r="J347" s="113"/>
      <c r="K347" s="113"/>
      <c r="L347" s="113"/>
      <c r="M347" s="113"/>
      <c r="N347" s="113"/>
      <c r="O347" s="113"/>
      <c r="P347" s="113"/>
      <c r="Q347" s="113"/>
      <c r="R347" s="113"/>
    </row>
    <row r="348" spans="1:18" s="112" customFormat="1" ht="20.100000000000001" customHeight="1" x14ac:dyDescent="0.2">
      <c r="A348" s="113"/>
      <c r="B348" s="113"/>
      <c r="C348" s="113"/>
      <c r="D348" s="113"/>
      <c r="E348" s="113"/>
      <c r="F348" s="113"/>
      <c r="G348" s="113"/>
      <c r="H348" s="113"/>
      <c r="I348" s="113"/>
      <c r="J348" s="113"/>
      <c r="K348" s="113"/>
      <c r="L348" s="113"/>
      <c r="M348" s="113"/>
      <c r="N348" s="113"/>
      <c r="O348" s="113"/>
      <c r="P348" s="113"/>
      <c r="Q348" s="113"/>
      <c r="R348" s="113"/>
    </row>
    <row r="349" spans="1:18" s="112" customFormat="1" ht="20.100000000000001" customHeight="1" x14ac:dyDescent="0.2">
      <c r="A349" s="113"/>
      <c r="B349" s="113"/>
      <c r="C349" s="113"/>
      <c r="D349" s="113"/>
      <c r="E349" s="113"/>
      <c r="F349" s="113"/>
      <c r="G349" s="113"/>
      <c r="H349" s="113"/>
      <c r="I349" s="113"/>
      <c r="J349" s="113"/>
      <c r="K349" s="113"/>
      <c r="L349" s="113"/>
      <c r="M349" s="113"/>
      <c r="N349" s="113"/>
      <c r="O349" s="113"/>
      <c r="P349" s="113"/>
      <c r="Q349" s="113"/>
      <c r="R349" s="113"/>
    </row>
    <row r="350" spans="1:18" s="112" customFormat="1" ht="20.100000000000001" customHeight="1" x14ac:dyDescent="0.2">
      <c r="A350" s="113"/>
      <c r="B350" s="113"/>
      <c r="C350" s="113"/>
      <c r="D350" s="113"/>
      <c r="E350" s="113"/>
      <c r="F350" s="113"/>
      <c r="G350" s="113"/>
      <c r="H350" s="113"/>
      <c r="I350" s="113"/>
      <c r="J350" s="113"/>
      <c r="K350" s="113"/>
      <c r="L350" s="113"/>
      <c r="M350" s="113"/>
      <c r="N350" s="113"/>
      <c r="O350" s="113"/>
      <c r="P350" s="113"/>
      <c r="Q350" s="113"/>
      <c r="R350" s="113"/>
    </row>
    <row r="351" spans="1:18" s="112" customFormat="1" ht="20.100000000000001" customHeight="1" x14ac:dyDescent="0.2">
      <c r="A351" s="113"/>
      <c r="B351" s="113"/>
      <c r="C351" s="113"/>
      <c r="D351" s="113"/>
      <c r="E351" s="113"/>
      <c r="F351" s="113"/>
      <c r="G351" s="113"/>
      <c r="H351" s="113"/>
      <c r="I351" s="113"/>
      <c r="J351" s="113"/>
      <c r="K351" s="113"/>
      <c r="L351" s="113"/>
      <c r="M351" s="113"/>
      <c r="N351" s="113"/>
      <c r="O351" s="113"/>
      <c r="P351" s="113"/>
      <c r="Q351" s="113"/>
      <c r="R351" s="113"/>
    </row>
    <row r="352" spans="1:18" s="115" customFormat="1" ht="20.100000000000001" customHeight="1" x14ac:dyDescent="0.15">
      <c r="A352" s="113"/>
      <c r="B352" s="113"/>
      <c r="C352" s="113"/>
      <c r="D352" s="113"/>
      <c r="E352" s="113"/>
      <c r="F352" s="113"/>
      <c r="G352" s="113"/>
      <c r="H352" s="113"/>
      <c r="I352" s="113"/>
      <c r="J352" s="113"/>
      <c r="K352" s="113"/>
      <c r="L352" s="113"/>
      <c r="M352" s="113"/>
      <c r="N352" s="113"/>
      <c r="O352" s="113"/>
      <c r="P352" s="113"/>
      <c r="Q352" s="113"/>
      <c r="R352" s="113"/>
    </row>
    <row r="353" spans="1:18" s="115" customFormat="1" ht="20.100000000000001" customHeight="1" x14ac:dyDescent="0.15">
      <c r="A353" s="114"/>
      <c r="B353" s="114"/>
      <c r="C353" s="114"/>
      <c r="D353" s="114"/>
      <c r="E353" s="114"/>
      <c r="F353" s="114"/>
      <c r="G353" s="114"/>
      <c r="H353" s="114"/>
      <c r="I353" s="114"/>
      <c r="J353" s="114"/>
      <c r="K353" s="114"/>
      <c r="L353" s="114"/>
      <c r="M353" s="114"/>
      <c r="N353" s="114"/>
      <c r="O353" s="114"/>
      <c r="P353" s="114"/>
      <c r="Q353" s="114"/>
      <c r="R353" s="114"/>
    </row>
    <row r="354" spans="1:18" s="115" customFormat="1" ht="20.100000000000001" customHeight="1" x14ac:dyDescent="0.15">
      <c r="A354" s="114"/>
      <c r="B354" s="114"/>
      <c r="C354" s="114"/>
      <c r="D354" s="114"/>
      <c r="E354" s="114"/>
      <c r="F354" s="114"/>
      <c r="G354" s="114"/>
      <c r="H354" s="114"/>
      <c r="I354" s="114"/>
      <c r="J354" s="114"/>
      <c r="K354" s="114"/>
      <c r="L354" s="114"/>
      <c r="M354" s="114"/>
      <c r="N354" s="114"/>
      <c r="O354" s="114"/>
      <c r="P354" s="114"/>
      <c r="Q354" s="114"/>
      <c r="R354" s="114"/>
    </row>
    <row r="355" spans="1:18" s="115" customFormat="1" ht="20.100000000000001" customHeight="1" x14ac:dyDescent="0.15">
      <c r="A355" s="114"/>
      <c r="B355" s="114"/>
      <c r="C355" s="114"/>
      <c r="D355" s="114"/>
      <c r="E355" s="114"/>
      <c r="F355" s="114"/>
      <c r="G355" s="114"/>
      <c r="H355" s="114"/>
      <c r="I355" s="114"/>
      <c r="J355" s="114"/>
      <c r="K355" s="114"/>
      <c r="L355" s="114"/>
      <c r="M355" s="114"/>
      <c r="N355" s="114"/>
      <c r="O355" s="114"/>
      <c r="P355" s="114"/>
      <c r="Q355" s="114"/>
      <c r="R355" s="114"/>
    </row>
    <row r="356" spans="1:18" s="115" customFormat="1" ht="20.100000000000001" customHeight="1" x14ac:dyDescent="0.15">
      <c r="A356" s="114"/>
      <c r="B356" s="114"/>
      <c r="C356" s="114"/>
      <c r="D356" s="114"/>
      <c r="E356" s="114"/>
      <c r="F356" s="114"/>
      <c r="G356" s="114"/>
      <c r="H356" s="114"/>
      <c r="I356" s="114"/>
      <c r="J356" s="114"/>
      <c r="K356" s="114"/>
      <c r="L356" s="114"/>
      <c r="M356" s="114"/>
      <c r="N356" s="114"/>
      <c r="O356" s="114"/>
      <c r="P356" s="114"/>
      <c r="Q356" s="114"/>
      <c r="R356" s="114"/>
    </row>
    <row r="357" spans="1:18" s="115" customFormat="1" ht="20.100000000000001" customHeight="1" x14ac:dyDescent="0.15">
      <c r="A357" s="114"/>
      <c r="B357" s="114"/>
      <c r="C357" s="114"/>
      <c r="D357" s="114"/>
      <c r="E357" s="114"/>
      <c r="F357" s="114"/>
      <c r="G357" s="114"/>
      <c r="H357" s="114"/>
      <c r="I357" s="114"/>
      <c r="J357" s="114"/>
      <c r="K357" s="114"/>
      <c r="L357" s="114"/>
      <c r="M357" s="114"/>
      <c r="N357" s="114"/>
      <c r="O357" s="114"/>
      <c r="P357" s="114"/>
      <c r="Q357" s="114"/>
      <c r="R357" s="114"/>
    </row>
    <row r="358" spans="1:18" s="115" customFormat="1" ht="20.100000000000001" customHeight="1" x14ac:dyDescent="0.15">
      <c r="A358" s="114"/>
      <c r="B358" s="114"/>
      <c r="C358" s="114"/>
      <c r="D358" s="114"/>
      <c r="E358" s="114"/>
      <c r="F358" s="114"/>
      <c r="G358" s="114"/>
      <c r="H358" s="114"/>
      <c r="I358" s="114"/>
      <c r="J358" s="114"/>
      <c r="K358" s="114"/>
      <c r="L358" s="114"/>
      <c r="M358" s="114"/>
      <c r="N358" s="114"/>
      <c r="O358" s="114"/>
      <c r="P358" s="114"/>
      <c r="Q358" s="114"/>
      <c r="R358" s="114"/>
    </row>
    <row r="359" spans="1:18" s="115" customFormat="1" ht="20.100000000000001" customHeight="1" x14ac:dyDescent="0.15">
      <c r="A359" s="114"/>
      <c r="B359" s="114"/>
      <c r="C359" s="114"/>
      <c r="D359" s="114"/>
      <c r="E359" s="114"/>
      <c r="F359" s="114"/>
      <c r="G359" s="114"/>
      <c r="H359" s="114"/>
      <c r="I359" s="114"/>
      <c r="J359" s="114"/>
      <c r="K359" s="114"/>
      <c r="L359" s="114"/>
      <c r="M359" s="114"/>
      <c r="N359" s="114"/>
      <c r="O359" s="114"/>
      <c r="P359" s="114"/>
      <c r="Q359" s="114"/>
      <c r="R359" s="114"/>
    </row>
    <row r="360" spans="1:18" s="115" customFormat="1" ht="20.100000000000001" customHeight="1" x14ac:dyDescent="0.15">
      <c r="A360" s="114"/>
      <c r="B360" s="114"/>
      <c r="C360" s="114"/>
      <c r="D360" s="114"/>
      <c r="E360" s="114"/>
      <c r="F360" s="114"/>
      <c r="G360" s="114"/>
      <c r="H360" s="114"/>
      <c r="I360" s="114"/>
      <c r="J360" s="114"/>
      <c r="K360" s="114"/>
      <c r="L360" s="114"/>
      <c r="M360" s="114"/>
      <c r="N360" s="114"/>
      <c r="O360" s="114"/>
      <c r="P360" s="114"/>
      <c r="Q360" s="114"/>
      <c r="R360" s="114"/>
    </row>
    <row r="361" spans="1:18" s="115" customFormat="1" ht="20.100000000000001" customHeight="1" x14ac:dyDescent="0.15">
      <c r="A361" s="114"/>
      <c r="B361" s="114"/>
      <c r="C361" s="114"/>
      <c r="D361" s="114"/>
      <c r="E361" s="114"/>
      <c r="F361" s="114"/>
      <c r="G361" s="114"/>
      <c r="H361" s="114"/>
      <c r="I361" s="114"/>
      <c r="J361" s="114"/>
      <c r="K361" s="114"/>
      <c r="L361" s="114"/>
      <c r="M361" s="114"/>
      <c r="N361" s="114"/>
      <c r="O361" s="114"/>
      <c r="P361" s="114"/>
      <c r="Q361" s="114"/>
      <c r="R361" s="114"/>
    </row>
    <row r="362" spans="1:18" s="115" customFormat="1" ht="20.100000000000001" customHeight="1" x14ac:dyDescent="0.15">
      <c r="A362" s="114"/>
      <c r="B362" s="114"/>
      <c r="C362" s="114"/>
      <c r="D362" s="114"/>
      <c r="E362" s="114"/>
      <c r="F362" s="114"/>
      <c r="G362" s="114"/>
      <c r="H362" s="114"/>
      <c r="I362" s="114"/>
      <c r="J362" s="114"/>
      <c r="K362" s="114"/>
      <c r="L362" s="114"/>
      <c r="M362" s="114"/>
      <c r="N362" s="114"/>
      <c r="O362" s="114"/>
      <c r="P362" s="114"/>
      <c r="Q362" s="114"/>
      <c r="R362" s="114"/>
    </row>
    <row r="363" spans="1:18" s="115" customFormat="1" ht="20.100000000000001" customHeight="1" x14ac:dyDescent="0.15">
      <c r="A363" s="114"/>
      <c r="B363" s="114"/>
      <c r="C363" s="114"/>
      <c r="D363" s="114"/>
      <c r="E363" s="114"/>
      <c r="F363" s="114"/>
      <c r="G363" s="114"/>
      <c r="H363" s="114"/>
      <c r="I363" s="114"/>
      <c r="J363" s="114"/>
      <c r="K363" s="114"/>
      <c r="L363" s="114"/>
      <c r="M363" s="114"/>
      <c r="N363" s="114"/>
      <c r="O363" s="114"/>
      <c r="P363" s="114"/>
      <c r="Q363" s="114"/>
      <c r="R363" s="114"/>
    </row>
    <row r="364" spans="1:18" s="115" customFormat="1" ht="20.100000000000001" customHeight="1" x14ac:dyDescent="0.15">
      <c r="A364" s="114"/>
      <c r="B364" s="114"/>
      <c r="C364" s="114"/>
      <c r="D364" s="114"/>
      <c r="E364" s="114"/>
      <c r="F364" s="114"/>
      <c r="G364" s="114"/>
      <c r="H364" s="114"/>
      <c r="I364" s="114"/>
      <c r="J364" s="114"/>
      <c r="K364" s="114"/>
      <c r="L364" s="114"/>
      <c r="M364" s="114"/>
      <c r="N364" s="114"/>
      <c r="O364" s="114"/>
      <c r="P364" s="114"/>
      <c r="Q364" s="114"/>
      <c r="R364" s="114"/>
    </row>
    <row r="365" spans="1:18" s="115" customFormat="1" ht="20.100000000000001" customHeight="1" x14ac:dyDescent="0.15">
      <c r="A365" s="114"/>
      <c r="B365" s="114"/>
      <c r="C365" s="114"/>
      <c r="D365" s="114"/>
      <c r="E365" s="114"/>
      <c r="F365" s="114"/>
      <c r="G365" s="114"/>
      <c r="H365" s="114"/>
      <c r="I365" s="114"/>
      <c r="J365" s="114"/>
      <c r="K365" s="114"/>
      <c r="L365" s="114"/>
      <c r="M365" s="114"/>
      <c r="N365" s="114"/>
      <c r="O365" s="114"/>
      <c r="P365" s="114"/>
      <c r="Q365" s="114"/>
      <c r="R365" s="114"/>
    </row>
    <row r="366" spans="1:18" s="115" customFormat="1" ht="20.100000000000001" customHeight="1" x14ac:dyDescent="0.15">
      <c r="A366" s="114"/>
      <c r="B366" s="114"/>
      <c r="C366" s="114"/>
      <c r="D366" s="114"/>
      <c r="E366" s="114"/>
      <c r="F366" s="114"/>
      <c r="G366" s="114"/>
      <c r="H366" s="114"/>
      <c r="I366" s="114"/>
      <c r="J366" s="114"/>
      <c r="K366" s="114"/>
      <c r="L366" s="114"/>
      <c r="M366" s="114"/>
      <c r="N366" s="114"/>
      <c r="O366" s="114"/>
      <c r="P366" s="114"/>
      <c r="Q366" s="114"/>
      <c r="R366" s="114"/>
    </row>
    <row r="367" spans="1:18" s="115" customFormat="1" ht="20.100000000000001" customHeight="1" x14ac:dyDescent="0.15">
      <c r="A367" s="114"/>
      <c r="B367" s="114"/>
      <c r="C367" s="114"/>
      <c r="D367" s="114"/>
      <c r="E367" s="114"/>
      <c r="F367" s="114"/>
      <c r="G367" s="114"/>
      <c r="H367" s="114"/>
      <c r="I367" s="114"/>
      <c r="J367" s="114"/>
      <c r="K367" s="114"/>
      <c r="L367" s="114"/>
      <c r="M367" s="114"/>
      <c r="N367" s="114"/>
      <c r="O367" s="114"/>
      <c r="P367" s="114"/>
      <c r="Q367" s="114"/>
      <c r="R367" s="114"/>
    </row>
    <row r="368" spans="1:18" s="115" customFormat="1" ht="20.100000000000001" customHeight="1" x14ac:dyDescent="0.15">
      <c r="A368" s="114"/>
      <c r="B368" s="114"/>
      <c r="C368" s="114"/>
      <c r="D368" s="114"/>
      <c r="E368" s="114"/>
      <c r="F368" s="114"/>
      <c r="G368" s="114"/>
      <c r="H368" s="114"/>
      <c r="I368" s="114"/>
      <c r="J368" s="114"/>
      <c r="K368" s="114"/>
      <c r="L368" s="114"/>
      <c r="M368" s="114"/>
      <c r="N368" s="114"/>
      <c r="O368" s="114"/>
      <c r="P368" s="114"/>
      <c r="Q368" s="114"/>
      <c r="R368" s="114"/>
    </row>
    <row r="369" spans="1:18" s="115" customFormat="1" ht="20.100000000000001" customHeight="1" x14ac:dyDescent="0.15">
      <c r="A369" s="114"/>
      <c r="B369" s="114"/>
      <c r="C369" s="114"/>
      <c r="D369" s="114"/>
      <c r="E369" s="114"/>
      <c r="F369" s="114"/>
      <c r="G369" s="114"/>
      <c r="H369" s="114"/>
      <c r="I369" s="114"/>
      <c r="J369" s="114"/>
      <c r="K369" s="114"/>
      <c r="L369" s="114"/>
      <c r="M369" s="114"/>
      <c r="N369" s="114"/>
      <c r="O369" s="114"/>
      <c r="P369" s="114"/>
      <c r="Q369" s="114"/>
      <c r="R369" s="114"/>
    </row>
    <row r="370" spans="1:18" s="115" customFormat="1" ht="20.100000000000001" customHeight="1" x14ac:dyDescent="0.15">
      <c r="A370" s="114"/>
      <c r="B370" s="114"/>
      <c r="C370" s="114"/>
      <c r="D370" s="114"/>
      <c r="E370" s="114"/>
      <c r="F370" s="114"/>
      <c r="G370" s="114"/>
      <c r="H370" s="114"/>
      <c r="I370" s="114"/>
      <c r="J370" s="114"/>
      <c r="K370" s="114"/>
      <c r="L370" s="114"/>
      <c r="M370" s="114"/>
      <c r="N370" s="114"/>
      <c r="O370" s="114"/>
      <c r="P370" s="114"/>
      <c r="Q370" s="114"/>
      <c r="R370" s="114"/>
    </row>
    <row r="371" spans="1:18" s="115" customFormat="1" ht="20.100000000000001" customHeight="1" x14ac:dyDescent="0.15">
      <c r="A371" s="114"/>
      <c r="B371" s="114"/>
      <c r="C371" s="114"/>
      <c r="D371" s="114"/>
      <c r="E371" s="114"/>
      <c r="F371" s="114"/>
      <c r="G371" s="114"/>
      <c r="H371" s="114"/>
      <c r="I371" s="114"/>
      <c r="J371" s="114"/>
      <c r="K371" s="114"/>
      <c r="L371" s="114"/>
      <c r="M371" s="114"/>
      <c r="N371" s="114"/>
      <c r="O371" s="114"/>
      <c r="P371" s="114"/>
      <c r="Q371" s="114"/>
      <c r="R371" s="114"/>
    </row>
    <row r="372" spans="1:18" s="115" customFormat="1" ht="20.100000000000001" customHeight="1" x14ac:dyDescent="0.15">
      <c r="A372" s="114"/>
      <c r="B372" s="114"/>
      <c r="C372" s="114"/>
      <c r="D372" s="114"/>
      <c r="E372" s="114"/>
      <c r="F372" s="114"/>
      <c r="G372" s="114"/>
      <c r="H372" s="114"/>
      <c r="I372" s="114"/>
      <c r="J372" s="114"/>
      <c r="K372" s="114"/>
      <c r="L372" s="114"/>
      <c r="M372" s="114"/>
      <c r="N372" s="114"/>
      <c r="O372" s="114"/>
      <c r="P372" s="114"/>
      <c r="Q372" s="114"/>
      <c r="R372" s="114"/>
    </row>
    <row r="373" spans="1:18" s="115" customFormat="1" ht="20.100000000000001" customHeight="1" x14ac:dyDescent="0.15">
      <c r="A373" s="114"/>
      <c r="B373" s="114"/>
      <c r="C373" s="114"/>
      <c r="D373" s="114"/>
      <c r="E373" s="114"/>
      <c r="F373" s="114"/>
      <c r="G373" s="114"/>
      <c r="H373" s="114"/>
      <c r="I373" s="114"/>
      <c r="J373" s="114"/>
      <c r="K373" s="114"/>
      <c r="L373" s="114"/>
      <c r="M373" s="114"/>
      <c r="N373" s="114"/>
      <c r="O373" s="114"/>
      <c r="P373" s="114"/>
      <c r="Q373" s="114"/>
      <c r="R373" s="114"/>
    </row>
    <row r="374" spans="1:18" s="115" customFormat="1" ht="20.100000000000001" customHeight="1" x14ac:dyDescent="0.15">
      <c r="A374" s="114"/>
      <c r="B374" s="114"/>
      <c r="C374" s="114"/>
      <c r="D374" s="114"/>
      <c r="E374" s="114"/>
      <c r="F374" s="114"/>
      <c r="G374" s="114"/>
      <c r="H374" s="114"/>
      <c r="I374" s="114"/>
      <c r="J374" s="114"/>
      <c r="K374" s="114"/>
      <c r="L374" s="114"/>
      <c r="M374" s="114"/>
      <c r="N374" s="114"/>
      <c r="O374" s="114"/>
      <c r="P374" s="114"/>
      <c r="Q374" s="114"/>
      <c r="R374" s="114"/>
    </row>
    <row r="375" spans="1:18" s="115" customFormat="1" ht="20.100000000000001" customHeight="1" x14ac:dyDescent="0.15">
      <c r="A375" s="114"/>
      <c r="B375" s="114"/>
      <c r="C375" s="114"/>
      <c r="D375" s="114"/>
      <c r="E375" s="114"/>
      <c r="F375" s="114"/>
      <c r="G375" s="114"/>
      <c r="H375" s="114"/>
      <c r="I375" s="114"/>
      <c r="J375" s="114"/>
      <c r="K375" s="114"/>
      <c r="L375" s="114"/>
      <c r="M375" s="114"/>
      <c r="N375" s="114"/>
      <c r="O375" s="114"/>
      <c r="P375" s="114"/>
      <c r="Q375" s="114"/>
      <c r="R375" s="114"/>
    </row>
    <row r="376" spans="1:18" s="115" customFormat="1" ht="20.100000000000001" customHeight="1" x14ac:dyDescent="0.15">
      <c r="A376" s="114"/>
      <c r="B376" s="114"/>
      <c r="C376" s="114"/>
      <c r="D376" s="114"/>
      <c r="E376" s="114"/>
      <c r="F376" s="114"/>
      <c r="G376" s="114"/>
      <c r="H376" s="114"/>
      <c r="I376" s="114"/>
      <c r="J376" s="114"/>
      <c r="K376" s="114"/>
      <c r="L376" s="114"/>
      <c r="M376" s="114"/>
      <c r="N376" s="114"/>
      <c r="O376" s="114"/>
      <c r="P376" s="114"/>
      <c r="Q376" s="114"/>
      <c r="R376" s="114"/>
    </row>
    <row r="377" spans="1:18" s="115" customFormat="1" ht="20.100000000000001" customHeight="1" x14ac:dyDescent="0.15">
      <c r="A377" s="114"/>
      <c r="B377" s="114"/>
      <c r="C377" s="114"/>
      <c r="D377" s="114"/>
      <c r="E377" s="114"/>
      <c r="F377" s="114"/>
      <c r="G377" s="114"/>
      <c r="H377" s="114"/>
      <c r="I377" s="114"/>
      <c r="J377" s="114"/>
      <c r="K377" s="114"/>
      <c r="L377" s="114"/>
      <c r="M377" s="114"/>
      <c r="N377" s="114"/>
      <c r="O377" s="114"/>
      <c r="P377" s="114"/>
      <c r="Q377" s="114"/>
      <c r="R377" s="114"/>
    </row>
    <row r="378" spans="1:18" s="115" customFormat="1" ht="20.100000000000001" customHeight="1" x14ac:dyDescent="0.15">
      <c r="A378" s="114"/>
      <c r="B378" s="114"/>
      <c r="C378" s="114"/>
      <c r="D378" s="114"/>
      <c r="E378" s="114"/>
      <c r="F378" s="114"/>
      <c r="G378" s="114"/>
      <c r="H378" s="114"/>
      <c r="I378" s="114"/>
      <c r="J378" s="114"/>
      <c r="K378" s="114"/>
      <c r="L378" s="114"/>
      <c r="M378" s="114"/>
      <c r="N378" s="114"/>
      <c r="O378" s="114"/>
      <c r="P378" s="114"/>
      <c r="Q378" s="114"/>
      <c r="R378" s="114"/>
    </row>
    <row r="379" spans="1:18" s="115" customFormat="1" ht="20.100000000000001" customHeight="1" x14ac:dyDescent="0.15">
      <c r="A379" s="114"/>
      <c r="B379" s="114"/>
      <c r="C379" s="114"/>
      <c r="D379" s="114"/>
      <c r="E379" s="114"/>
      <c r="F379" s="114"/>
      <c r="G379" s="114"/>
      <c r="H379" s="114"/>
      <c r="I379" s="114"/>
      <c r="J379" s="114"/>
      <c r="K379" s="114"/>
      <c r="L379" s="114"/>
      <c r="M379" s="114"/>
      <c r="N379" s="114"/>
      <c r="O379" s="114"/>
      <c r="P379" s="114"/>
      <c r="Q379" s="114"/>
      <c r="R379" s="114"/>
    </row>
    <row r="380" spans="1:18" s="115" customFormat="1" ht="20.100000000000001" customHeight="1" x14ac:dyDescent="0.15">
      <c r="A380" s="114"/>
      <c r="B380" s="114"/>
      <c r="C380" s="114"/>
      <c r="D380" s="114"/>
      <c r="E380" s="114"/>
      <c r="F380" s="114"/>
      <c r="G380" s="114"/>
      <c r="H380" s="114"/>
      <c r="I380" s="114"/>
      <c r="J380" s="114"/>
      <c r="K380" s="114"/>
      <c r="L380" s="114"/>
      <c r="M380" s="114"/>
      <c r="N380" s="114"/>
      <c r="O380" s="114"/>
      <c r="P380" s="114"/>
      <c r="Q380" s="114"/>
      <c r="R380" s="114"/>
    </row>
    <row r="381" spans="1:18" s="115" customFormat="1" ht="20.100000000000001" customHeight="1" x14ac:dyDescent="0.15">
      <c r="A381" s="114"/>
      <c r="B381" s="114"/>
      <c r="C381" s="114"/>
      <c r="D381" s="114"/>
      <c r="E381" s="114"/>
      <c r="F381" s="114"/>
      <c r="G381" s="114"/>
      <c r="H381" s="114"/>
      <c r="I381" s="114"/>
      <c r="J381" s="114"/>
      <c r="K381" s="114"/>
      <c r="L381" s="114"/>
      <c r="M381" s="114"/>
      <c r="N381" s="114"/>
      <c r="O381" s="114"/>
      <c r="P381" s="114"/>
      <c r="Q381" s="114"/>
      <c r="R381" s="114"/>
    </row>
    <row r="382" spans="1:18" s="115" customFormat="1" ht="20.100000000000001" customHeight="1" x14ac:dyDescent="0.15">
      <c r="A382" s="114"/>
      <c r="B382" s="114"/>
      <c r="C382" s="114"/>
      <c r="D382" s="114"/>
      <c r="E382" s="114"/>
      <c r="F382" s="114"/>
      <c r="G382" s="114"/>
      <c r="H382" s="114"/>
      <c r="I382" s="114"/>
      <c r="J382" s="114"/>
      <c r="K382" s="114"/>
      <c r="L382" s="114"/>
      <c r="M382" s="114"/>
      <c r="N382" s="114"/>
      <c r="O382" s="114"/>
      <c r="P382" s="114"/>
      <c r="Q382" s="114"/>
      <c r="R382" s="114"/>
    </row>
    <row r="383" spans="1:18" s="115" customFormat="1" ht="20.100000000000001" customHeight="1" x14ac:dyDescent="0.15">
      <c r="A383" s="114"/>
      <c r="B383" s="114"/>
      <c r="C383" s="114"/>
      <c r="D383" s="114"/>
      <c r="E383" s="114"/>
      <c r="F383" s="114"/>
      <c r="G383" s="114"/>
      <c r="H383" s="114"/>
      <c r="I383" s="114"/>
      <c r="J383" s="114"/>
      <c r="K383" s="114"/>
      <c r="L383" s="114"/>
      <c r="M383" s="114"/>
      <c r="N383" s="114"/>
      <c r="O383" s="114"/>
      <c r="P383" s="114"/>
      <c r="Q383" s="114"/>
      <c r="R383" s="114"/>
    </row>
    <row r="384" spans="1:18" s="115" customFormat="1" ht="20.100000000000001" customHeight="1" x14ac:dyDescent="0.15">
      <c r="A384" s="114"/>
      <c r="B384" s="114"/>
      <c r="C384" s="114"/>
      <c r="D384" s="114"/>
      <c r="E384" s="114"/>
      <c r="F384" s="114"/>
      <c r="G384" s="114"/>
      <c r="H384" s="114"/>
      <c r="I384" s="114"/>
      <c r="J384" s="114"/>
      <c r="K384" s="114"/>
      <c r="L384" s="114"/>
      <c r="M384" s="114"/>
      <c r="N384" s="114"/>
      <c r="O384" s="114"/>
      <c r="P384" s="114"/>
      <c r="Q384" s="114"/>
      <c r="R384" s="114"/>
    </row>
    <row r="385" spans="1:18" s="115" customFormat="1" ht="20.100000000000001" customHeight="1" x14ac:dyDescent="0.15">
      <c r="A385" s="114"/>
      <c r="B385" s="114"/>
      <c r="C385" s="114"/>
      <c r="D385" s="114"/>
      <c r="E385" s="114"/>
      <c r="F385" s="114"/>
      <c r="G385" s="114"/>
      <c r="H385" s="114"/>
      <c r="I385" s="114"/>
      <c r="J385" s="114"/>
      <c r="K385" s="114"/>
      <c r="L385" s="114"/>
      <c r="M385" s="114"/>
      <c r="N385" s="114"/>
      <c r="O385" s="114"/>
      <c r="P385" s="114"/>
      <c r="Q385" s="114"/>
      <c r="R385" s="114"/>
    </row>
    <row r="386" spans="1:18" s="115" customFormat="1" ht="20.100000000000001" customHeight="1" x14ac:dyDescent="0.15">
      <c r="A386" s="114"/>
      <c r="B386" s="114"/>
      <c r="C386" s="114"/>
      <c r="D386" s="114"/>
      <c r="E386" s="114"/>
      <c r="F386" s="114"/>
      <c r="G386" s="114"/>
      <c r="H386" s="114"/>
      <c r="I386" s="114"/>
      <c r="J386" s="114"/>
      <c r="K386" s="114"/>
      <c r="L386" s="114"/>
      <c r="M386" s="114"/>
      <c r="N386" s="114"/>
      <c r="O386" s="114"/>
      <c r="P386" s="114"/>
      <c r="Q386" s="114"/>
      <c r="R386" s="114"/>
    </row>
    <row r="387" spans="1:18" s="115" customFormat="1" ht="20.100000000000001" customHeight="1" x14ac:dyDescent="0.15">
      <c r="A387" s="114"/>
      <c r="B387" s="114"/>
      <c r="C387" s="114"/>
      <c r="D387" s="114"/>
      <c r="E387" s="114"/>
      <c r="F387" s="114"/>
      <c r="G387" s="114"/>
      <c r="H387" s="114"/>
      <c r="I387" s="114"/>
      <c r="J387" s="114"/>
      <c r="K387" s="114"/>
      <c r="L387" s="114"/>
      <c r="M387" s="114"/>
      <c r="N387" s="114"/>
      <c r="O387" s="114"/>
      <c r="P387" s="114"/>
      <c r="Q387" s="114"/>
      <c r="R387" s="114"/>
    </row>
    <row r="388" spans="1:18" s="115" customFormat="1" ht="20.100000000000001" customHeight="1" x14ac:dyDescent="0.15">
      <c r="A388" s="114"/>
      <c r="B388" s="114"/>
      <c r="C388" s="114"/>
      <c r="D388" s="114"/>
      <c r="E388" s="114"/>
      <c r="F388" s="114"/>
      <c r="G388" s="114"/>
      <c r="H388" s="114"/>
      <c r="I388" s="114"/>
      <c r="J388" s="114"/>
      <c r="K388" s="114"/>
      <c r="L388" s="114"/>
      <c r="M388" s="114"/>
      <c r="N388" s="114"/>
      <c r="O388" s="114"/>
      <c r="P388" s="114"/>
      <c r="Q388" s="114"/>
      <c r="R388" s="114"/>
    </row>
    <row r="389" spans="1:18" s="115" customFormat="1" ht="20.100000000000001" customHeight="1" x14ac:dyDescent="0.15">
      <c r="A389" s="114"/>
      <c r="B389" s="114"/>
      <c r="C389" s="114"/>
      <c r="D389" s="114"/>
      <c r="E389" s="114"/>
      <c r="F389" s="114"/>
      <c r="G389" s="114"/>
      <c r="H389" s="114"/>
      <c r="I389" s="114"/>
      <c r="J389" s="114"/>
      <c r="K389" s="114"/>
      <c r="L389" s="114"/>
      <c r="M389" s="114"/>
      <c r="N389" s="114"/>
      <c r="O389" s="114"/>
      <c r="P389" s="114"/>
      <c r="Q389" s="114"/>
      <c r="R389" s="114"/>
    </row>
    <row r="390" spans="1:18" s="115" customFormat="1" ht="20.100000000000001" customHeight="1" x14ac:dyDescent="0.15">
      <c r="A390" s="114"/>
      <c r="B390" s="114"/>
      <c r="C390" s="114"/>
      <c r="D390" s="114"/>
      <c r="E390" s="114"/>
      <c r="F390" s="114"/>
      <c r="G390" s="114"/>
      <c r="H390" s="114"/>
      <c r="I390" s="114"/>
      <c r="J390" s="114"/>
      <c r="K390" s="114"/>
      <c r="L390" s="114"/>
      <c r="M390" s="114"/>
      <c r="N390" s="114"/>
      <c r="O390" s="114"/>
      <c r="P390" s="114"/>
      <c r="Q390" s="114"/>
      <c r="R390" s="114"/>
    </row>
    <row r="391" spans="1:18" s="115" customFormat="1" ht="20.100000000000001" customHeight="1" x14ac:dyDescent="0.15">
      <c r="A391" s="114"/>
      <c r="B391" s="114"/>
      <c r="C391" s="114"/>
      <c r="D391" s="114"/>
      <c r="E391" s="114"/>
      <c r="F391" s="114"/>
      <c r="G391" s="114"/>
      <c r="H391" s="114"/>
      <c r="I391" s="114"/>
      <c r="J391" s="114"/>
      <c r="K391" s="114"/>
      <c r="L391" s="114"/>
      <c r="M391" s="114"/>
      <c r="N391" s="114"/>
      <c r="O391" s="114"/>
      <c r="P391" s="114"/>
      <c r="Q391" s="114"/>
      <c r="R391" s="114"/>
    </row>
    <row r="392" spans="1:18" s="115" customFormat="1" ht="20.100000000000001" customHeight="1" x14ac:dyDescent="0.15">
      <c r="A392" s="114"/>
      <c r="B392" s="114"/>
      <c r="C392" s="114"/>
      <c r="D392" s="114"/>
      <c r="E392" s="114"/>
      <c r="F392" s="114"/>
      <c r="G392" s="114"/>
      <c r="H392" s="114"/>
      <c r="I392" s="114"/>
      <c r="J392" s="114"/>
      <c r="K392" s="114"/>
      <c r="L392" s="114"/>
      <c r="M392" s="114"/>
      <c r="N392" s="114"/>
      <c r="O392" s="114"/>
      <c r="P392" s="114"/>
      <c r="Q392" s="114"/>
      <c r="R392" s="114"/>
    </row>
    <row r="393" spans="1:18" s="115" customFormat="1" ht="20.100000000000001" customHeight="1" x14ac:dyDescent="0.15">
      <c r="A393" s="114"/>
      <c r="B393" s="114"/>
      <c r="C393" s="114"/>
      <c r="D393" s="114"/>
      <c r="E393" s="114"/>
      <c r="F393" s="114"/>
      <c r="G393" s="114"/>
      <c r="H393" s="114"/>
      <c r="I393" s="114"/>
      <c r="J393" s="114"/>
      <c r="K393" s="114"/>
      <c r="L393" s="114"/>
      <c r="M393" s="114"/>
      <c r="N393" s="114"/>
      <c r="O393" s="114"/>
      <c r="P393" s="114"/>
      <c r="Q393" s="114"/>
      <c r="R393" s="114"/>
    </row>
    <row r="394" spans="1:18" s="115" customFormat="1" ht="20.100000000000001" customHeight="1" x14ac:dyDescent="0.15">
      <c r="A394" s="114"/>
      <c r="B394" s="114"/>
      <c r="C394" s="114"/>
      <c r="D394" s="114"/>
      <c r="E394" s="114"/>
      <c r="F394" s="114"/>
      <c r="G394" s="114"/>
      <c r="H394" s="114"/>
      <c r="I394" s="114"/>
      <c r="J394" s="114"/>
      <c r="K394" s="114"/>
      <c r="L394" s="114"/>
      <c r="M394" s="114"/>
      <c r="N394" s="114"/>
      <c r="O394" s="114"/>
      <c r="P394" s="114"/>
      <c r="Q394" s="114"/>
      <c r="R394" s="114"/>
    </row>
    <row r="395" spans="1:18" s="115" customFormat="1" ht="20.100000000000001" customHeight="1" x14ac:dyDescent="0.15">
      <c r="A395" s="114"/>
      <c r="B395" s="114"/>
      <c r="C395" s="114"/>
      <c r="D395" s="114"/>
      <c r="E395" s="114"/>
      <c r="F395" s="114"/>
      <c r="G395" s="114"/>
      <c r="H395" s="114"/>
      <c r="I395" s="114"/>
      <c r="J395" s="114"/>
      <c r="K395" s="114"/>
      <c r="L395" s="114"/>
      <c r="M395" s="114"/>
      <c r="N395" s="114"/>
      <c r="O395" s="114"/>
      <c r="P395" s="114"/>
      <c r="Q395" s="114"/>
      <c r="R395" s="114"/>
    </row>
    <row r="396" spans="1:18" s="115" customFormat="1" ht="20.100000000000001" customHeight="1" x14ac:dyDescent="0.15">
      <c r="A396" s="114"/>
      <c r="B396" s="114"/>
      <c r="C396" s="114"/>
      <c r="D396" s="114"/>
      <c r="E396" s="114"/>
      <c r="F396" s="114"/>
      <c r="G396" s="114"/>
      <c r="H396" s="114"/>
      <c r="I396" s="114"/>
      <c r="J396" s="114"/>
      <c r="K396" s="114"/>
      <c r="L396" s="114"/>
      <c r="M396" s="114"/>
      <c r="N396" s="114"/>
      <c r="O396" s="114"/>
      <c r="P396" s="114"/>
      <c r="Q396" s="114"/>
      <c r="R396" s="114"/>
    </row>
    <row r="397" spans="1:18" s="115" customFormat="1" ht="20.100000000000001" customHeight="1" x14ac:dyDescent="0.15">
      <c r="A397" s="114"/>
      <c r="B397" s="114"/>
      <c r="C397" s="114"/>
      <c r="D397" s="114"/>
      <c r="E397" s="114"/>
      <c r="F397" s="114"/>
      <c r="G397" s="114"/>
      <c r="H397" s="114"/>
      <c r="I397" s="114"/>
      <c r="J397" s="114"/>
      <c r="K397" s="114"/>
      <c r="L397" s="114"/>
      <c r="M397" s="114"/>
      <c r="N397" s="114"/>
      <c r="O397" s="114"/>
      <c r="P397" s="114"/>
      <c r="Q397" s="114"/>
      <c r="R397" s="114"/>
    </row>
    <row r="398" spans="1:18" s="115" customFormat="1" ht="20.100000000000001" customHeight="1" x14ac:dyDescent="0.15">
      <c r="A398" s="114"/>
      <c r="B398" s="114"/>
      <c r="C398" s="114"/>
      <c r="D398" s="114"/>
      <c r="E398" s="114"/>
      <c r="F398" s="114"/>
      <c r="G398" s="114"/>
      <c r="H398" s="114"/>
      <c r="I398" s="114"/>
      <c r="J398" s="114"/>
      <c r="K398" s="114"/>
      <c r="L398" s="114"/>
      <c r="M398" s="114"/>
      <c r="N398" s="114"/>
      <c r="O398" s="114"/>
      <c r="P398" s="114"/>
      <c r="Q398" s="114"/>
      <c r="R398" s="114"/>
    </row>
    <row r="399" spans="1:18" s="115" customFormat="1" ht="20.100000000000001" customHeight="1" x14ac:dyDescent="0.15">
      <c r="A399" s="114"/>
      <c r="B399" s="114"/>
      <c r="C399" s="114"/>
      <c r="D399" s="114"/>
      <c r="E399" s="114"/>
      <c r="F399" s="114"/>
      <c r="G399" s="114"/>
      <c r="H399" s="114"/>
      <c r="I399" s="114"/>
      <c r="J399" s="114"/>
      <c r="K399" s="114"/>
      <c r="L399" s="114"/>
      <c r="M399" s="114"/>
      <c r="N399" s="114"/>
      <c r="O399" s="114"/>
      <c r="P399" s="114"/>
      <c r="Q399" s="114"/>
      <c r="R399" s="114"/>
    </row>
    <row r="400" spans="1:18" s="115" customFormat="1" ht="20.100000000000001" customHeight="1" x14ac:dyDescent="0.15">
      <c r="A400" s="114"/>
      <c r="B400" s="114"/>
      <c r="C400" s="114"/>
      <c r="D400" s="114"/>
      <c r="E400" s="114"/>
      <c r="F400" s="114"/>
      <c r="G400" s="114"/>
      <c r="H400" s="114"/>
      <c r="I400" s="114"/>
      <c r="J400" s="114"/>
      <c r="K400" s="114"/>
      <c r="L400" s="114"/>
      <c r="M400" s="114"/>
      <c r="N400" s="114"/>
      <c r="O400" s="114"/>
      <c r="P400" s="114"/>
      <c r="Q400" s="114"/>
      <c r="R400" s="114"/>
    </row>
    <row r="401" spans="1:18" s="115" customFormat="1" ht="20.100000000000001" customHeight="1" x14ac:dyDescent="0.15">
      <c r="A401" s="114"/>
      <c r="B401" s="114"/>
      <c r="C401" s="114"/>
      <c r="D401" s="114"/>
      <c r="E401" s="114"/>
      <c r="F401" s="114"/>
      <c r="G401" s="114"/>
      <c r="H401" s="114"/>
      <c r="I401" s="114"/>
      <c r="J401" s="114"/>
      <c r="K401" s="114"/>
      <c r="L401" s="114"/>
      <c r="M401" s="114"/>
      <c r="N401" s="114"/>
      <c r="O401" s="114"/>
      <c r="P401" s="114"/>
      <c r="Q401" s="114"/>
      <c r="R401" s="114"/>
    </row>
    <row r="402" spans="1:18" s="115" customFormat="1" ht="20.100000000000001" customHeight="1" x14ac:dyDescent="0.15">
      <c r="A402" s="114"/>
      <c r="B402" s="114"/>
      <c r="C402" s="114"/>
      <c r="D402" s="114"/>
      <c r="E402" s="114"/>
      <c r="F402" s="114"/>
      <c r="G402" s="114"/>
      <c r="H402" s="114"/>
      <c r="I402" s="114"/>
      <c r="J402" s="114"/>
      <c r="K402" s="114"/>
      <c r="L402" s="114"/>
      <c r="M402" s="114"/>
      <c r="N402" s="114"/>
      <c r="O402" s="114"/>
      <c r="P402" s="114"/>
      <c r="Q402" s="114"/>
      <c r="R402" s="114"/>
    </row>
    <row r="403" spans="1:18" s="115" customFormat="1" ht="20.100000000000001" customHeight="1" x14ac:dyDescent="0.15">
      <c r="A403" s="114"/>
      <c r="B403" s="114"/>
      <c r="C403" s="114"/>
      <c r="D403" s="114"/>
      <c r="E403" s="114"/>
      <c r="F403" s="114"/>
      <c r="G403" s="114"/>
      <c r="H403" s="114"/>
      <c r="I403" s="114"/>
      <c r="J403" s="114"/>
      <c r="K403" s="114"/>
      <c r="L403" s="114"/>
      <c r="M403" s="114"/>
      <c r="N403" s="114"/>
      <c r="O403" s="114"/>
      <c r="P403" s="114"/>
      <c r="Q403" s="114"/>
      <c r="R403" s="114"/>
    </row>
    <row r="404" spans="1:18" s="115" customFormat="1" ht="20.100000000000001" customHeight="1" x14ac:dyDescent="0.15">
      <c r="A404" s="114"/>
      <c r="B404" s="114"/>
      <c r="C404" s="114"/>
      <c r="D404" s="114"/>
      <c r="E404" s="114"/>
      <c r="F404" s="114"/>
      <c r="G404" s="114"/>
      <c r="H404" s="114"/>
      <c r="I404" s="114"/>
      <c r="J404" s="114"/>
      <c r="K404" s="114"/>
      <c r="L404" s="114"/>
      <c r="M404" s="114"/>
      <c r="N404" s="114"/>
      <c r="O404" s="114"/>
      <c r="P404" s="114"/>
      <c r="Q404" s="114"/>
      <c r="R404" s="114"/>
    </row>
    <row r="405" spans="1:18" s="115" customFormat="1" ht="20.100000000000001" customHeight="1" x14ac:dyDescent="0.15">
      <c r="A405" s="114"/>
      <c r="B405" s="114"/>
      <c r="C405" s="114"/>
      <c r="D405" s="114"/>
      <c r="E405" s="114"/>
      <c r="F405" s="114"/>
      <c r="G405" s="114"/>
      <c r="H405" s="114"/>
      <c r="I405" s="114"/>
      <c r="J405" s="114"/>
      <c r="K405" s="114"/>
      <c r="L405" s="114"/>
      <c r="M405" s="114"/>
      <c r="N405" s="114"/>
      <c r="O405" s="114"/>
      <c r="P405" s="114"/>
      <c r="Q405" s="114"/>
      <c r="R405" s="114"/>
    </row>
    <row r="406" spans="1:18" s="115" customFormat="1" ht="20.100000000000001" customHeight="1" x14ac:dyDescent="0.15">
      <c r="A406" s="114"/>
      <c r="B406" s="114"/>
      <c r="C406" s="114"/>
      <c r="D406" s="114"/>
      <c r="E406" s="114"/>
      <c r="F406" s="114"/>
      <c r="G406" s="114"/>
      <c r="H406" s="114"/>
      <c r="I406" s="114"/>
      <c r="J406" s="114"/>
      <c r="K406" s="114"/>
      <c r="L406" s="114"/>
      <c r="M406" s="114"/>
      <c r="N406" s="114"/>
      <c r="O406" s="114"/>
      <c r="P406" s="114"/>
      <c r="Q406" s="114"/>
      <c r="R406" s="114"/>
    </row>
    <row r="407" spans="1:18" s="115" customFormat="1" ht="20.100000000000001" customHeight="1" x14ac:dyDescent="0.15">
      <c r="A407" s="114"/>
      <c r="B407" s="114"/>
      <c r="C407" s="114"/>
      <c r="D407" s="114"/>
      <c r="E407" s="114"/>
      <c r="F407" s="114"/>
      <c r="G407" s="114"/>
      <c r="H407" s="114"/>
      <c r="I407" s="114"/>
      <c r="J407" s="114"/>
      <c r="K407" s="114"/>
      <c r="L407" s="114"/>
      <c r="M407" s="114"/>
      <c r="N407" s="114"/>
      <c r="O407" s="114"/>
      <c r="P407" s="114"/>
      <c r="Q407" s="114"/>
      <c r="R407" s="114"/>
    </row>
    <row r="408" spans="1:18" s="115" customFormat="1" ht="20.100000000000001" customHeight="1" x14ac:dyDescent="0.15">
      <c r="A408" s="114"/>
      <c r="B408" s="114"/>
      <c r="C408" s="114"/>
      <c r="D408" s="114"/>
      <c r="E408" s="114"/>
      <c r="F408" s="114"/>
      <c r="G408" s="114"/>
      <c r="H408" s="114"/>
      <c r="I408" s="114"/>
      <c r="J408" s="114"/>
      <c r="K408" s="114"/>
      <c r="L408" s="114"/>
      <c r="M408" s="114"/>
      <c r="N408" s="114"/>
      <c r="O408" s="114"/>
      <c r="P408" s="114"/>
      <c r="Q408" s="114"/>
      <c r="R408" s="114"/>
    </row>
    <row r="409" spans="1:18" s="115" customFormat="1" ht="20.100000000000001" customHeight="1" x14ac:dyDescent="0.15">
      <c r="A409" s="114"/>
      <c r="B409" s="114"/>
      <c r="C409" s="114"/>
      <c r="D409" s="114"/>
      <c r="E409" s="114"/>
      <c r="F409" s="114"/>
      <c r="G409" s="114"/>
      <c r="H409" s="114"/>
      <c r="I409" s="114"/>
      <c r="J409" s="114"/>
      <c r="K409" s="114"/>
      <c r="L409" s="114"/>
      <c r="M409" s="114"/>
      <c r="N409" s="114"/>
      <c r="O409" s="114"/>
      <c r="P409" s="114"/>
      <c r="Q409" s="114"/>
      <c r="R409" s="114"/>
    </row>
    <row r="410" spans="1:18" s="115" customFormat="1" ht="20.100000000000001" customHeight="1" x14ac:dyDescent="0.15">
      <c r="A410" s="114"/>
      <c r="B410" s="114"/>
      <c r="C410" s="114"/>
      <c r="D410" s="114"/>
      <c r="E410" s="114"/>
      <c r="F410" s="114"/>
      <c r="G410" s="114"/>
      <c r="H410" s="114"/>
      <c r="I410" s="114"/>
      <c r="J410" s="114"/>
      <c r="K410" s="114"/>
      <c r="L410" s="114"/>
      <c r="M410" s="114"/>
      <c r="N410" s="114"/>
      <c r="O410" s="114"/>
      <c r="P410" s="114"/>
      <c r="Q410" s="114"/>
      <c r="R410" s="114"/>
    </row>
    <row r="411" spans="1:18" s="115" customFormat="1" ht="20.100000000000001" customHeight="1" x14ac:dyDescent="0.15">
      <c r="A411" s="114"/>
      <c r="B411" s="114"/>
      <c r="C411" s="114"/>
      <c r="D411" s="114"/>
      <c r="E411" s="114"/>
      <c r="F411" s="114"/>
      <c r="G411" s="114"/>
      <c r="H411" s="114"/>
      <c r="I411" s="114"/>
      <c r="J411" s="114"/>
      <c r="K411" s="114"/>
      <c r="L411" s="114"/>
      <c r="M411" s="114"/>
      <c r="N411" s="114"/>
      <c r="O411" s="114"/>
      <c r="P411" s="114"/>
      <c r="Q411" s="114"/>
      <c r="R411" s="114"/>
    </row>
    <row r="412" spans="1:18" s="115" customFormat="1" ht="20.100000000000001" customHeight="1" x14ac:dyDescent="0.15">
      <c r="A412" s="114"/>
      <c r="B412" s="114"/>
      <c r="C412" s="114"/>
      <c r="D412" s="114"/>
      <c r="E412" s="114"/>
      <c r="F412" s="114"/>
      <c r="G412" s="114"/>
      <c r="H412" s="114"/>
      <c r="I412" s="114"/>
      <c r="J412" s="114"/>
      <c r="K412" s="114"/>
      <c r="L412" s="114"/>
      <c r="M412" s="114"/>
      <c r="N412" s="114"/>
      <c r="O412" s="114"/>
      <c r="P412" s="114"/>
      <c r="Q412" s="114"/>
      <c r="R412" s="114"/>
    </row>
    <row r="413" spans="1:18" s="115" customFormat="1" ht="20.100000000000001" customHeight="1" x14ac:dyDescent="0.15">
      <c r="A413" s="114"/>
      <c r="B413" s="114"/>
      <c r="C413" s="114"/>
      <c r="D413" s="114"/>
      <c r="E413" s="114"/>
      <c r="F413" s="114"/>
      <c r="G413" s="114"/>
      <c r="H413" s="114"/>
      <c r="I413" s="114"/>
      <c r="J413" s="114"/>
      <c r="K413" s="114"/>
      <c r="L413" s="114"/>
      <c r="M413" s="114"/>
      <c r="N413" s="114"/>
      <c r="O413" s="114"/>
      <c r="P413" s="114"/>
      <c r="Q413" s="114"/>
      <c r="R413" s="114"/>
    </row>
    <row r="414" spans="1:18" s="115" customFormat="1" ht="20.100000000000001" customHeight="1" x14ac:dyDescent="0.15">
      <c r="A414" s="114"/>
      <c r="B414" s="114"/>
      <c r="C414" s="114"/>
      <c r="D414" s="114"/>
      <c r="E414" s="114"/>
      <c r="F414" s="114"/>
      <c r="G414" s="114"/>
      <c r="H414" s="114"/>
      <c r="I414" s="114"/>
      <c r="J414" s="114"/>
      <c r="K414" s="114"/>
      <c r="L414" s="114"/>
      <c r="M414" s="114"/>
      <c r="N414" s="114"/>
      <c r="O414" s="114"/>
      <c r="P414" s="114"/>
      <c r="Q414" s="114"/>
      <c r="R414" s="114"/>
    </row>
    <row r="415" spans="1:18" s="115" customFormat="1" ht="20.100000000000001" customHeight="1" x14ac:dyDescent="0.15">
      <c r="A415" s="114"/>
      <c r="B415" s="114"/>
      <c r="C415" s="114"/>
      <c r="D415" s="114"/>
      <c r="E415" s="114"/>
      <c r="F415" s="114"/>
      <c r="G415" s="114"/>
      <c r="H415" s="114"/>
      <c r="I415" s="114"/>
      <c r="J415" s="114"/>
      <c r="K415" s="114"/>
      <c r="L415" s="114"/>
      <c r="M415" s="114"/>
      <c r="N415" s="114"/>
      <c r="O415" s="114"/>
      <c r="P415" s="114"/>
      <c r="Q415" s="114"/>
      <c r="R415" s="114"/>
    </row>
    <row r="416" spans="1:18" s="115" customFormat="1" ht="20.100000000000001" customHeight="1" x14ac:dyDescent="0.15">
      <c r="A416" s="114"/>
      <c r="B416" s="114"/>
      <c r="C416" s="114"/>
      <c r="D416" s="114"/>
      <c r="E416" s="114"/>
      <c r="F416" s="114"/>
      <c r="G416" s="114"/>
      <c r="H416" s="114"/>
      <c r="I416" s="114"/>
      <c r="J416" s="114"/>
      <c r="K416" s="114"/>
      <c r="L416" s="114"/>
      <c r="M416" s="114"/>
      <c r="N416" s="114"/>
      <c r="O416" s="114"/>
      <c r="P416" s="114"/>
      <c r="Q416" s="114"/>
      <c r="R416" s="114"/>
    </row>
    <row r="417" spans="1:18" s="115" customFormat="1" ht="20.100000000000001" customHeight="1" x14ac:dyDescent="0.15">
      <c r="A417" s="114"/>
      <c r="B417" s="114"/>
      <c r="C417" s="114"/>
      <c r="D417" s="114"/>
      <c r="E417" s="114"/>
      <c r="F417" s="114"/>
      <c r="G417" s="114"/>
      <c r="H417" s="114"/>
      <c r="I417" s="114"/>
      <c r="J417" s="114"/>
      <c r="K417" s="114"/>
      <c r="L417" s="114"/>
      <c r="M417" s="114"/>
      <c r="N417" s="114"/>
      <c r="O417" s="114"/>
      <c r="P417" s="114"/>
      <c r="Q417" s="114"/>
      <c r="R417" s="114"/>
    </row>
    <row r="418" spans="1:18" s="115" customFormat="1" ht="20.100000000000001" customHeight="1" x14ac:dyDescent="0.15">
      <c r="A418" s="114"/>
      <c r="B418" s="114"/>
      <c r="C418" s="114"/>
      <c r="D418" s="114"/>
      <c r="E418" s="114"/>
      <c r="F418" s="114"/>
      <c r="G418" s="114"/>
      <c r="H418" s="114"/>
      <c r="I418" s="114"/>
      <c r="J418" s="114"/>
      <c r="K418" s="114"/>
      <c r="L418" s="114"/>
      <c r="M418" s="114"/>
      <c r="N418" s="114"/>
      <c r="O418" s="114"/>
      <c r="P418" s="114"/>
      <c r="Q418" s="114"/>
      <c r="R418" s="114"/>
    </row>
    <row r="419" spans="1:18" s="115" customFormat="1" ht="20.100000000000001" customHeight="1" x14ac:dyDescent="0.15">
      <c r="A419" s="114"/>
      <c r="B419" s="114"/>
      <c r="C419" s="114"/>
      <c r="D419" s="114"/>
      <c r="E419" s="114"/>
      <c r="F419" s="114"/>
      <c r="G419" s="114"/>
      <c r="H419" s="114"/>
      <c r="I419" s="114"/>
      <c r="J419" s="114"/>
      <c r="K419" s="114"/>
      <c r="L419" s="114"/>
      <c r="M419" s="114"/>
      <c r="N419" s="114"/>
      <c r="O419" s="114"/>
      <c r="P419" s="114"/>
      <c r="Q419" s="114"/>
      <c r="R419" s="114"/>
    </row>
    <row r="420" spans="1:18" s="115" customFormat="1" ht="20.100000000000001" customHeight="1" x14ac:dyDescent="0.15">
      <c r="A420" s="114"/>
      <c r="B420" s="114"/>
      <c r="C420" s="114"/>
      <c r="D420" s="114"/>
      <c r="E420" s="114"/>
      <c r="F420" s="114"/>
      <c r="G420" s="114"/>
      <c r="H420" s="114"/>
      <c r="I420" s="114"/>
      <c r="J420" s="114"/>
      <c r="K420" s="114"/>
      <c r="L420" s="114"/>
      <c r="M420" s="114"/>
      <c r="N420" s="114"/>
      <c r="O420" s="114"/>
      <c r="P420" s="114"/>
      <c r="Q420" s="114"/>
      <c r="R420" s="114"/>
    </row>
    <row r="421" spans="1:18" s="115" customFormat="1" ht="20.100000000000001" customHeight="1" x14ac:dyDescent="0.15">
      <c r="A421" s="114"/>
      <c r="B421" s="114"/>
      <c r="C421" s="114"/>
      <c r="D421" s="114"/>
      <c r="E421" s="114"/>
      <c r="F421" s="114"/>
      <c r="G421" s="114"/>
      <c r="H421" s="114"/>
      <c r="I421" s="114"/>
      <c r="J421" s="114"/>
      <c r="K421" s="114"/>
      <c r="L421" s="114"/>
      <c r="M421" s="114"/>
      <c r="N421" s="114"/>
      <c r="O421" s="114"/>
      <c r="P421" s="114"/>
      <c r="Q421" s="114"/>
      <c r="R421" s="114"/>
    </row>
    <row r="422" spans="1:18" s="115" customFormat="1" ht="20.100000000000001" customHeight="1" x14ac:dyDescent="0.15">
      <c r="A422" s="114"/>
      <c r="B422" s="114"/>
      <c r="C422" s="114"/>
      <c r="D422" s="114"/>
      <c r="E422" s="114"/>
      <c r="F422" s="114"/>
      <c r="G422" s="114"/>
      <c r="H422" s="114"/>
      <c r="I422" s="114"/>
      <c r="J422" s="114"/>
      <c r="K422" s="114"/>
      <c r="L422" s="114"/>
      <c r="M422" s="114"/>
      <c r="N422" s="114"/>
      <c r="O422" s="114"/>
      <c r="P422" s="114"/>
      <c r="Q422" s="114"/>
      <c r="R422" s="114"/>
    </row>
    <row r="423" spans="1:18" s="115" customFormat="1" ht="20.100000000000001" customHeight="1" x14ac:dyDescent="0.15">
      <c r="A423" s="114"/>
      <c r="B423" s="114"/>
      <c r="C423" s="114"/>
      <c r="D423" s="114"/>
      <c r="E423" s="114"/>
      <c r="F423" s="114"/>
      <c r="G423" s="114"/>
      <c r="H423" s="114"/>
      <c r="I423" s="114"/>
      <c r="J423" s="114"/>
      <c r="K423" s="114"/>
      <c r="L423" s="114"/>
      <c r="M423" s="114"/>
      <c r="N423" s="114"/>
      <c r="O423" s="114"/>
      <c r="P423" s="114"/>
      <c r="Q423" s="114"/>
      <c r="R423" s="114"/>
    </row>
    <row r="424" spans="1:18" s="115" customFormat="1" ht="20.100000000000001" customHeight="1" x14ac:dyDescent="0.15">
      <c r="A424" s="114"/>
      <c r="B424" s="114"/>
      <c r="C424" s="114"/>
      <c r="D424" s="114"/>
      <c r="E424" s="114"/>
      <c r="F424" s="114"/>
      <c r="G424" s="114"/>
      <c r="H424" s="114"/>
      <c r="I424" s="114"/>
      <c r="J424" s="114"/>
      <c r="K424" s="114"/>
      <c r="L424" s="114"/>
      <c r="M424" s="114"/>
      <c r="N424" s="114"/>
      <c r="O424" s="114"/>
      <c r="P424" s="114"/>
      <c r="Q424" s="114"/>
      <c r="R424" s="114"/>
    </row>
    <row r="425" spans="1:18" s="115" customFormat="1" ht="20.100000000000001" customHeight="1" x14ac:dyDescent="0.15">
      <c r="A425" s="114"/>
      <c r="B425" s="114"/>
      <c r="C425" s="114"/>
      <c r="D425" s="114"/>
      <c r="E425" s="114"/>
      <c r="F425" s="114"/>
      <c r="G425" s="114"/>
      <c r="H425" s="114"/>
      <c r="I425" s="114"/>
      <c r="J425" s="114"/>
      <c r="K425" s="114"/>
      <c r="L425" s="114"/>
      <c r="M425" s="114"/>
      <c r="N425" s="114"/>
      <c r="O425" s="114"/>
      <c r="P425" s="114"/>
      <c r="Q425" s="114"/>
      <c r="R425" s="114"/>
    </row>
    <row r="426" spans="1:18" s="115" customFormat="1" ht="20.100000000000001" customHeight="1" x14ac:dyDescent="0.15">
      <c r="A426" s="114"/>
      <c r="B426" s="114"/>
      <c r="C426" s="114"/>
      <c r="D426" s="114"/>
      <c r="E426" s="114"/>
      <c r="F426" s="114"/>
      <c r="G426" s="114"/>
      <c r="H426" s="114"/>
      <c r="I426" s="114"/>
      <c r="J426" s="114"/>
      <c r="K426" s="114"/>
      <c r="L426" s="114"/>
      <c r="M426" s="114"/>
      <c r="N426" s="114"/>
      <c r="O426" s="114"/>
      <c r="P426" s="114"/>
      <c r="Q426" s="114"/>
      <c r="R426" s="114"/>
    </row>
    <row r="427" spans="1:18" s="115" customFormat="1" ht="20.100000000000001" customHeight="1" x14ac:dyDescent="0.15">
      <c r="A427" s="114"/>
      <c r="B427" s="114"/>
      <c r="C427" s="114"/>
      <c r="D427" s="114"/>
      <c r="E427" s="114"/>
      <c r="F427" s="114"/>
      <c r="G427" s="114"/>
      <c r="H427" s="114"/>
      <c r="I427" s="114"/>
      <c r="J427" s="114"/>
      <c r="K427" s="114"/>
      <c r="L427" s="114"/>
      <c r="M427" s="114"/>
      <c r="N427" s="114"/>
      <c r="O427" s="114"/>
      <c r="P427" s="114"/>
      <c r="Q427" s="114"/>
      <c r="R427" s="114"/>
    </row>
    <row r="428" spans="1:18" s="115" customFormat="1" ht="20.100000000000001" customHeight="1" x14ac:dyDescent="0.15">
      <c r="A428" s="114"/>
      <c r="B428" s="114"/>
      <c r="C428" s="114"/>
      <c r="D428" s="114"/>
      <c r="E428" s="114"/>
      <c r="F428" s="114"/>
      <c r="G428" s="114"/>
      <c r="H428" s="114"/>
      <c r="I428" s="114"/>
      <c r="J428" s="114"/>
      <c r="K428" s="114"/>
      <c r="L428" s="114"/>
      <c r="M428" s="114"/>
      <c r="N428" s="114"/>
      <c r="O428" s="114"/>
      <c r="P428" s="114"/>
      <c r="Q428" s="114"/>
      <c r="R428" s="114"/>
    </row>
    <row r="429" spans="1:18" s="115" customFormat="1" ht="20.100000000000001" customHeight="1" x14ac:dyDescent="0.15">
      <c r="A429" s="114"/>
      <c r="B429" s="114"/>
      <c r="C429" s="114"/>
      <c r="D429" s="114"/>
      <c r="E429" s="114"/>
      <c r="F429" s="114"/>
      <c r="G429" s="114"/>
      <c r="H429" s="114"/>
      <c r="I429" s="114"/>
      <c r="J429" s="114"/>
      <c r="K429" s="114"/>
      <c r="L429" s="114"/>
      <c r="M429" s="114"/>
      <c r="N429" s="114"/>
      <c r="O429" s="114"/>
      <c r="P429" s="114"/>
      <c r="Q429" s="114"/>
      <c r="R429" s="114"/>
    </row>
    <row r="430" spans="1:18" s="115" customFormat="1" ht="20.100000000000001" customHeight="1" x14ac:dyDescent="0.15">
      <c r="A430" s="114"/>
      <c r="B430" s="114"/>
      <c r="C430" s="114"/>
      <c r="D430" s="114"/>
      <c r="E430" s="114"/>
      <c r="F430" s="114"/>
      <c r="G430" s="114"/>
      <c r="H430" s="114"/>
      <c r="I430" s="114"/>
      <c r="J430" s="114"/>
      <c r="K430" s="114"/>
      <c r="L430" s="114"/>
      <c r="M430" s="114"/>
      <c r="N430" s="114"/>
      <c r="O430" s="114"/>
      <c r="P430" s="114"/>
      <c r="Q430" s="114"/>
      <c r="R430" s="114"/>
    </row>
    <row r="431" spans="1:18" s="115" customFormat="1" ht="20.100000000000001" customHeight="1" x14ac:dyDescent="0.15">
      <c r="A431" s="114"/>
      <c r="B431" s="114"/>
      <c r="C431" s="114"/>
      <c r="D431" s="114"/>
      <c r="E431" s="114"/>
      <c r="F431" s="114"/>
      <c r="G431" s="114"/>
      <c r="H431" s="114"/>
      <c r="I431" s="114"/>
      <c r="J431" s="114"/>
      <c r="K431" s="114"/>
      <c r="L431" s="114"/>
      <c r="M431" s="114"/>
      <c r="N431" s="114"/>
      <c r="O431" s="114"/>
      <c r="P431" s="114"/>
      <c r="Q431" s="114"/>
      <c r="R431" s="114"/>
    </row>
    <row r="432" spans="1:18" s="115" customFormat="1" ht="20.100000000000001" customHeight="1" x14ac:dyDescent="0.15">
      <c r="A432" s="114"/>
      <c r="B432" s="114"/>
      <c r="C432" s="114"/>
      <c r="D432" s="114"/>
      <c r="E432" s="114"/>
      <c r="F432" s="114"/>
      <c r="G432" s="114"/>
      <c r="H432" s="114"/>
      <c r="I432" s="114"/>
      <c r="J432" s="114"/>
      <c r="K432" s="114"/>
      <c r="L432" s="114"/>
      <c r="M432" s="114"/>
      <c r="N432" s="114"/>
      <c r="O432" s="114"/>
      <c r="P432" s="114"/>
      <c r="Q432" s="114"/>
      <c r="R432" s="114"/>
    </row>
    <row r="433" spans="1:18" s="115" customFormat="1" ht="20.100000000000001" customHeight="1" x14ac:dyDescent="0.15">
      <c r="A433" s="114"/>
      <c r="B433" s="114"/>
      <c r="C433" s="114"/>
      <c r="D433" s="114"/>
      <c r="E433" s="114"/>
      <c r="F433" s="114"/>
      <c r="G433" s="114"/>
      <c r="H433" s="114"/>
      <c r="I433" s="114"/>
      <c r="J433" s="114"/>
      <c r="K433" s="114"/>
      <c r="L433" s="114"/>
      <c r="M433" s="114"/>
      <c r="N433" s="114"/>
      <c r="O433" s="114"/>
      <c r="P433" s="114"/>
      <c r="Q433" s="114"/>
      <c r="R433" s="114"/>
    </row>
    <row r="434" spans="1:18" s="115" customFormat="1" ht="20.100000000000001" customHeight="1" x14ac:dyDescent="0.15">
      <c r="A434" s="114"/>
      <c r="B434" s="114"/>
      <c r="C434" s="114"/>
      <c r="D434" s="114"/>
      <c r="E434" s="114"/>
      <c r="F434" s="114"/>
      <c r="G434" s="114"/>
      <c r="H434" s="114"/>
      <c r="I434" s="114"/>
      <c r="J434" s="114"/>
      <c r="K434" s="114"/>
      <c r="L434" s="114"/>
      <c r="M434" s="114"/>
      <c r="N434" s="114"/>
      <c r="O434" s="114"/>
      <c r="P434" s="114"/>
      <c r="Q434" s="114"/>
      <c r="R434" s="114"/>
    </row>
    <row r="435" spans="1:18" s="115" customFormat="1" ht="20.100000000000001" customHeight="1" x14ac:dyDescent="0.15">
      <c r="A435" s="114"/>
      <c r="B435" s="114"/>
      <c r="C435" s="114"/>
      <c r="D435" s="114"/>
      <c r="E435" s="114"/>
      <c r="F435" s="114"/>
      <c r="G435" s="114"/>
      <c r="H435" s="114"/>
      <c r="I435" s="114"/>
      <c r="J435" s="114"/>
      <c r="K435" s="114"/>
      <c r="L435" s="114"/>
      <c r="M435" s="114"/>
      <c r="N435" s="114"/>
      <c r="O435" s="114"/>
      <c r="P435" s="114"/>
      <c r="Q435" s="114"/>
      <c r="R435" s="114"/>
    </row>
    <row r="436" spans="1:18" s="115" customFormat="1" ht="20.100000000000001" customHeight="1" x14ac:dyDescent="0.15">
      <c r="A436" s="114"/>
      <c r="B436" s="114"/>
      <c r="C436" s="114"/>
      <c r="D436" s="114"/>
      <c r="E436" s="114"/>
      <c r="F436" s="114"/>
      <c r="G436" s="114"/>
      <c r="H436" s="114"/>
      <c r="I436" s="114"/>
      <c r="J436" s="114"/>
      <c r="K436" s="114"/>
      <c r="L436" s="114"/>
      <c r="M436" s="114"/>
      <c r="N436" s="114"/>
      <c r="O436" s="114"/>
      <c r="P436" s="114"/>
      <c r="Q436" s="114"/>
      <c r="R436" s="114"/>
    </row>
    <row r="437" spans="1:18" s="115" customFormat="1" ht="20.100000000000001" customHeight="1" x14ac:dyDescent="0.15">
      <c r="A437" s="114"/>
      <c r="B437" s="114"/>
      <c r="C437" s="114"/>
      <c r="D437" s="114"/>
      <c r="E437" s="114"/>
      <c r="F437" s="114"/>
      <c r="G437" s="114"/>
      <c r="H437" s="114"/>
      <c r="I437" s="114"/>
      <c r="J437" s="114"/>
      <c r="K437" s="114"/>
      <c r="L437" s="114"/>
      <c r="M437" s="114"/>
      <c r="N437" s="114"/>
      <c r="O437" s="114"/>
      <c r="P437" s="114"/>
      <c r="Q437" s="114"/>
      <c r="R437" s="114"/>
    </row>
    <row r="438" spans="1:18" s="115" customFormat="1" ht="20.100000000000001" customHeight="1" x14ac:dyDescent="0.15">
      <c r="A438" s="114"/>
      <c r="B438" s="114"/>
      <c r="C438" s="114"/>
      <c r="D438" s="114"/>
      <c r="E438" s="114"/>
      <c r="F438" s="114"/>
      <c r="G438" s="114"/>
      <c r="H438" s="114"/>
      <c r="I438" s="114"/>
      <c r="J438" s="114"/>
      <c r="K438" s="114"/>
      <c r="L438" s="114"/>
      <c r="M438" s="114"/>
      <c r="N438" s="114"/>
      <c r="O438" s="114"/>
      <c r="P438" s="114"/>
      <c r="Q438" s="114"/>
      <c r="R438" s="114"/>
    </row>
    <row r="439" spans="1:18" s="115" customFormat="1" ht="20.100000000000001" customHeight="1" x14ac:dyDescent="0.15">
      <c r="A439" s="114"/>
      <c r="B439" s="114"/>
      <c r="C439" s="114"/>
      <c r="D439" s="114"/>
      <c r="E439" s="114"/>
      <c r="F439" s="114"/>
      <c r="G439" s="114"/>
      <c r="H439" s="114"/>
      <c r="I439" s="114"/>
      <c r="J439" s="114"/>
      <c r="K439" s="114"/>
      <c r="L439" s="114"/>
      <c r="M439" s="114"/>
      <c r="N439" s="114"/>
      <c r="O439" s="114"/>
      <c r="P439" s="114"/>
      <c r="Q439" s="114"/>
      <c r="R439" s="114"/>
    </row>
    <row r="440" spans="1:18" s="115" customFormat="1" ht="20.100000000000001" customHeight="1" x14ac:dyDescent="0.15">
      <c r="A440" s="114"/>
      <c r="B440" s="114"/>
      <c r="C440" s="114"/>
      <c r="D440" s="114"/>
      <c r="E440" s="114"/>
      <c r="F440" s="114"/>
      <c r="G440" s="114"/>
      <c r="H440" s="114"/>
      <c r="I440" s="114"/>
      <c r="J440" s="114"/>
      <c r="K440" s="114"/>
      <c r="L440" s="114"/>
      <c r="M440" s="114"/>
      <c r="N440" s="114"/>
      <c r="O440" s="114"/>
      <c r="P440" s="114"/>
      <c r="Q440" s="114"/>
      <c r="R440" s="114"/>
    </row>
    <row r="441" spans="1:18" s="115" customFormat="1" ht="20.100000000000001" customHeight="1" x14ac:dyDescent="0.15">
      <c r="A441" s="114"/>
      <c r="B441" s="114"/>
      <c r="C441" s="114"/>
      <c r="D441" s="114"/>
      <c r="E441" s="114"/>
      <c r="F441" s="114"/>
      <c r="G441" s="114"/>
      <c r="H441" s="114"/>
      <c r="I441" s="114"/>
      <c r="J441" s="114"/>
      <c r="K441" s="114"/>
      <c r="L441" s="114"/>
      <c r="M441" s="114"/>
      <c r="N441" s="114"/>
      <c r="O441" s="114"/>
      <c r="P441" s="114"/>
      <c r="Q441" s="114"/>
      <c r="R441" s="114"/>
    </row>
    <row r="442" spans="1:18" s="115" customFormat="1" ht="20.100000000000001" customHeight="1" x14ac:dyDescent="0.15">
      <c r="A442" s="114"/>
      <c r="B442" s="114"/>
      <c r="C442" s="114"/>
      <c r="D442" s="114"/>
      <c r="E442" s="114"/>
      <c r="F442" s="114"/>
      <c r="G442" s="114"/>
      <c r="H442" s="114"/>
      <c r="I442" s="114"/>
      <c r="J442" s="114"/>
      <c r="K442" s="114"/>
      <c r="L442" s="114"/>
      <c r="M442" s="114"/>
      <c r="N442" s="114"/>
      <c r="O442" s="114"/>
      <c r="P442" s="114"/>
      <c r="Q442" s="114"/>
      <c r="R442" s="114"/>
    </row>
    <row r="443" spans="1:18" s="115" customFormat="1" ht="20.100000000000001" customHeight="1" x14ac:dyDescent="0.15">
      <c r="A443" s="114"/>
      <c r="B443" s="114"/>
      <c r="C443" s="114"/>
      <c r="D443" s="114"/>
      <c r="E443" s="114"/>
      <c r="F443" s="114"/>
      <c r="G443" s="114"/>
      <c r="H443" s="114"/>
      <c r="I443" s="114"/>
      <c r="J443" s="114"/>
      <c r="K443" s="114"/>
      <c r="L443" s="114"/>
      <c r="M443" s="114"/>
      <c r="N443" s="114"/>
      <c r="O443" s="114"/>
      <c r="P443" s="114"/>
      <c r="Q443" s="114"/>
      <c r="R443" s="114"/>
    </row>
    <row r="444" spans="1:18" s="115" customFormat="1" ht="20.100000000000001" customHeight="1" x14ac:dyDescent="0.15">
      <c r="A444" s="114"/>
      <c r="B444" s="114"/>
      <c r="C444" s="114"/>
      <c r="D444" s="114"/>
      <c r="E444" s="114"/>
      <c r="F444" s="114"/>
      <c r="G444" s="114"/>
      <c r="H444" s="114"/>
      <c r="I444" s="114"/>
      <c r="J444" s="114"/>
      <c r="K444" s="114"/>
      <c r="L444" s="114"/>
      <c r="M444" s="114"/>
      <c r="N444" s="114"/>
      <c r="O444" s="114"/>
      <c r="P444" s="114"/>
      <c r="Q444" s="114"/>
      <c r="R444" s="114"/>
    </row>
    <row r="445" spans="1:18" s="115" customFormat="1" ht="20.100000000000001" customHeight="1" x14ac:dyDescent="0.15">
      <c r="A445" s="114"/>
      <c r="B445" s="114"/>
      <c r="C445" s="114"/>
      <c r="D445" s="114"/>
      <c r="E445" s="114"/>
      <c r="F445" s="114"/>
      <c r="G445" s="114"/>
      <c r="H445" s="114"/>
      <c r="I445" s="114"/>
      <c r="J445" s="114"/>
      <c r="K445" s="114"/>
      <c r="L445" s="114"/>
      <c r="M445" s="114"/>
      <c r="N445" s="114"/>
      <c r="O445" s="114"/>
      <c r="P445" s="114"/>
      <c r="Q445" s="114"/>
      <c r="R445" s="114"/>
    </row>
    <row r="446" spans="1:18" s="115" customFormat="1" ht="20.100000000000001" customHeight="1" x14ac:dyDescent="0.15">
      <c r="A446" s="114"/>
      <c r="B446" s="114"/>
      <c r="C446" s="114"/>
      <c r="D446" s="114"/>
      <c r="E446" s="114"/>
      <c r="F446" s="114"/>
      <c r="G446" s="114"/>
      <c r="H446" s="114"/>
      <c r="I446" s="114"/>
      <c r="J446" s="114"/>
      <c r="K446" s="114"/>
      <c r="L446" s="114"/>
      <c r="M446" s="114"/>
      <c r="N446" s="114"/>
      <c r="O446" s="114"/>
      <c r="P446" s="114"/>
      <c r="Q446" s="114"/>
      <c r="R446" s="114"/>
    </row>
    <row r="447" spans="1:18" s="115" customFormat="1" ht="20.100000000000001" customHeight="1" x14ac:dyDescent="0.15">
      <c r="A447" s="114"/>
      <c r="B447" s="114"/>
      <c r="C447" s="114"/>
      <c r="D447" s="114"/>
      <c r="E447" s="114"/>
      <c r="F447" s="114"/>
      <c r="G447" s="114"/>
      <c r="H447" s="114"/>
      <c r="I447" s="114"/>
      <c r="J447" s="114"/>
      <c r="K447" s="114"/>
      <c r="L447" s="114"/>
      <c r="M447" s="114"/>
      <c r="N447" s="114"/>
      <c r="O447" s="114"/>
      <c r="P447" s="114"/>
      <c r="Q447" s="114"/>
      <c r="R447" s="114"/>
    </row>
    <row r="448" spans="1:18" s="115" customFormat="1" ht="20.100000000000001" customHeight="1" x14ac:dyDescent="0.15">
      <c r="A448" s="114"/>
      <c r="B448" s="114"/>
      <c r="C448" s="114"/>
      <c r="D448" s="114"/>
      <c r="E448" s="114"/>
      <c r="F448" s="114"/>
      <c r="G448" s="114"/>
      <c r="H448" s="114"/>
      <c r="I448" s="114"/>
      <c r="J448" s="114"/>
      <c r="K448" s="114"/>
      <c r="L448" s="114"/>
      <c r="M448" s="114"/>
      <c r="N448" s="114"/>
      <c r="O448" s="114"/>
      <c r="P448" s="114"/>
      <c r="Q448" s="114"/>
      <c r="R448" s="114"/>
    </row>
    <row r="449" spans="1:18" s="115" customFormat="1" ht="20.100000000000001" customHeight="1" x14ac:dyDescent="0.15">
      <c r="A449" s="114"/>
      <c r="B449" s="114"/>
      <c r="C449" s="114"/>
      <c r="D449" s="114"/>
      <c r="E449" s="114"/>
      <c r="F449" s="114"/>
      <c r="G449" s="114"/>
      <c r="H449" s="114"/>
      <c r="I449" s="114"/>
      <c r="J449" s="114"/>
      <c r="K449" s="114"/>
      <c r="L449" s="114"/>
      <c r="M449" s="114"/>
      <c r="N449" s="114"/>
      <c r="O449" s="114"/>
      <c r="P449" s="114"/>
      <c r="Q449" s="114"/>
      <c r="R449" s="114"/>
    </row>
    <row r="450" spans="1:18" s="115" customFormat="1" ht="20.100000000000001" customHeight="1" x14ac:dyDescent="0.15">
      <c r="A450" s="114"/>
      <c r="B450" s="114"/>
      <c r="C450" s="114"/>
      <c r="D450" s="114"/>
      <c r="E450" s="114"/>
      <c r="F450" s="114"/>
      <c r="G450" s="114"/>
      <c r="H450" s="114"/>
      <c r="I450" s="114"/>
      <c r="J450" s="114"/>
      <c r="K450" s="114"/>
      <c r="L450" s="114"/>
      <c r="M450" s="114"/>
      <c r="N450" s="114"/>
      <c r="O450" s="114"/>
      <c r="P450" s="114"/>
      <c r="Q450" s="114"/>
      <c r="R450" s="114"/>
    </row>
    <row r="451" spans="1:18" s="115" customFormat="1" ht="20.100000000000001" customHeight="1" x14ac:dyDescent="0.15">
      <c r="A451" s="114"/>
      <c r="B451" s="114"/>
      <c r="C451" s="114"/>
      <c r="D451" s="114"/>
      <c r="E451" s="114"/>
      <c r="F451" s="114"/>
      <c r="G451" s="114"/>
      <c r="H451" s="114"/>
      <c r="I451" s="114"/>
      <c r="J451" s="114"/>
      <c r="K451" s="114"/>
      <c r="L451" s="114"/>
      <c r="M451" s="114"/>
      <c r="N451" s="114"/>
      <c r="O451" s="114"/>
      <c r="P451" s="114"/>
      <c r="Q451" s="114"/>
      <c r="R451" s="114"/>
    </row>
    <row r="452" spans="1:18" s="115" customFormat="1" ht="20.100000000000001" customHeight="1" x14ac:dyDescent="0.15">
      <c r="A452" s="114"/>
      <c r="B452" s="114"/>
      <c r="C452" s="114"/>
      <c r="D452" s="114"/>
      <c r="E452" s="114"/>
      <c r="F452" s="114"/>
      <c r="G452" s="114"/>
      <c r="H452" s="114"/>
      <c r="I452" s="114"/>
      <c r="J452" s="114"/>
      <c r="K452" s="114"/>
      <c r="L452" s="114"/>
      <c r="M452" s="114"/>
      <c r="N452" s="114"/>
      <c r="O452" s="114"/>
      <c r="P452" s="114"/>
      <c r="Q452" s="114"/>
      <c r="R452" s="114"/>
    </row>
    <row r="453" spans="1:18" s="115" customFormat="1" ht="20.100000000000001" customHeight="1" x14ac:dyDescent="0.15">
      <c r="A453" s="114"/>
      <c r="B453" s="114"/>
      <c r="C453" s="114"/>
      <c r="D453" s="114"/>
      <c r="E453" s="114"/>
      <c r="F453" s="114"/>
      <c r="G453" s="114"/>
      <c r="H453" s="114"/>
      <c r="I453" s="114"/>
      <c r="J453" s="114"/>
      <c r="K453" s="114"/>
      <c r="L453" s="114"/>
      <c r="M453" s="114"/>
      <c r="N453" s="114"/>
      <c r="O453" s="114"/>
      <c r="P453" s="114"/>
      <c r="Q453" s="114"/>
      <c r="R453" s="114"/>
    </row>
    <row r="454" spans="1:18" s="115" customFormat="1" ht="20.100000000000001" customHeight="1" x14ac:dyDescent="0.15">
      <c r="A454" s="114"/>
      <c r="B454" s="114"/>
      <c r="C454" s="114"/>
      <c r="D454" s="114"/>
      <c r="E454" s="114"/>
      <c r="F454" s="114"/>
      <c r="G454" s="114"/>
      <c r="H454" s="114"/>
      <c r="I454" s="114"/>
      <c r="J454" s="114"/>
      <c r="K454" s="114"/>
      <c r="L454" s="114"/>
      <c r="M454" s="114"/>
      <c r="N454" s="114"/>
      <c r="O454" s="114"/>
      <c r="P454" s="114"/>
      <c r="Q454" s="114"/>
      <c r="R454" s="114"/>
    </row>
    <row r="455" spans="1:18" s="115" customFormat="1" ht="20.100000000000001" customHeight="1" x14ac:dyDescent="0.15">
      <c r="A455" s="114"/>
      <c r="B455" s="114"/>
      <c r="C455" s="114"/>
      <c r="D455" s="114"/>
      <c r="E455" s="114"/>
      <c r="F455" s="114"/>
      <c r="G455" s="114"/>
      <c r="H455" s="114"/>
      <c r="I455" s="114"/>
      <c r="J455" s="114"/>
      <c r="K455" s="114"/>
      <c r="L455" s="114"/>
      <c r="M455" s="114"/>
      <c r="N455" s="114"/>
      <c r="O455" s="114"/>
      <c r="P455" s="114"/>
      <c r="Q455" s="114"/>
      <c r="R455" s="114"/>
    </row>
    <row r="456" spans="1:18" s="115" customFormat="1" ht="20.100000000000001" customHeight="1" x14ac:dyDescent="0.15">
      <c r="A456" s="114"/>
      <c r="B456" s="114"/>
      <c r="C456" s="114"/>
      <c r="D456" s="114"/>
      <c r="E456" s="114"/>
      <c r="F456" s="114"/>
      <c r="G456" s="114"/>
      <c r="H456" s="114"/>
      <c r="I456" s="114"/>
      <c r="J456" s="114"/>
      <c r="K456" s="114"/>
      <c r="L456" s="114"/>
      <c r="M456" s="114"/>
      <c r="N456" s="114"/>
      <c r="O456" s="114"/>
      <c r="P456" s="114"/>
      <c r="Q456" s="114"/>
      <c r="R456" s="114"/>
    </row>
    <row r="457" spans="1:18" s="115" customFormat="1" ht="20.100000000000001" customHeight="1" x14ac:dyDescent="0.15">
      <c r="A457" s="114"/>
      <c r="B457" s="114"/>
      <c r="C457" s="114"/>
      <c r="D457" s="114"/>
      <c r="E457" s="114"/>
      <c r="F457" s="114"/>
      <c r="G457" s="114"/>
      <c r="H457" s="114"/>
      <c r="I457" s="114"/>
      <c r="J457" s="114"/>
      <c r="K457" s="114"/>
      <c r="L457" s="114"/>
      <c r="M457" s="114"/>
      <c r="N457" s="114"/>
      <c r="O457" s="114"/>
      <c r="P457" s="114"/>
      <c r="Q457" s="114"/>
      <c r="R457" s="114"/>
    </row>
    <row r="458" spans="1:18" s="115" customFormat="1" ht="20.100000000000001" customHeight="1" x14ac:dyDescent="0.15">
      <c r="A458" s="114"/>
      <c r="B458" s="114"/>
      <c r="C458" s="114"/>
      <c r="D458" s="114"/>
      <c r="E458" s="114"/>
      <c r="F458" s="114"/>
      <c r="G458" s="114"/>
      <c r="H458" s="114"/>
      <c r="I458" s="114"/>
      <c r="J458" s="114"/>
      <c r="K458" s="114"/>
      <c r="L458" s="114"/>
      <c r="M458" s="114"/>
      <c r="N458" s="114"/>
      <c r="O458" s="114"/>
      <c r="P458" s="114"/>
      <c r="Q458" s="114"/>
      <c r="R458" s="114"/>
    </row>
    <row r="459" spans="1:18" s="115" customFormat="1" ht="20.100000000000001" customHeight="1" x14ac:dyDescent="0.15">
      <c r="A459" s="114"/>
      <c r="B459" s="114"/>
      <c r="C459" s="114"/>
      <c r="D459" s="114"/>
      <c r="E459" s="114"/>
      <c r="F459" s="114"/>
      <c r="G459" s="114"/>
      <c r="H459" s="114"/>
      <c r="I459" s="114"/>
      <c r="J459" s="114"/>
      <c r="K459" s="114"/>
      <c r="L459" s="114"/>
      <c r="M459" s="114"/>
      <c r="N459" s="114"/>
      <c r="O459" s="114"/>
      <c r="P459" s="114"/>
      <c r="Q459" s="114"/>
      <c r="R459" s="114"/>
    </row>
    <row r="460" spans="1:18" s="115" customFormat="1" ht="20.100000000000001" customHeight="1" x14ac:dyDescent="0.15">
      <c r="A460" s="114"/>
      <c r="B460" s="114"/>
      <c r="C460" s="114"/>
      <c r="D460" s="114"/>
      <c r="E460" s="114"/>
      <c r="F460" s="114"/>
      <c r="G460" s="114"/>
      <c r="H460" s="114"/>
      <c r="I460" s="114"/>
      <c r="J460" s="114"/>
      <c r="K460" s="114"/>
      <c r="L460" s="114"/>
      <c r="M460" s="114"/>
      <c r="N460" s="114"/>
      <c r="O460" s="114"/>
      <c r="P460" s="114"/>
      <c r="Q460" s="114"/>
      <c r="R460" s="114"/>
    </row>
    <row r="461" spans="1:18" s="115" customFormat="1" ht="20.100000000000001" customHeight="1" x14ac:dyDescent="0.15">
      <c r="A461" s="114"/>
      <c r="B461" s="114"/>
      <c r="C461" s="114"/>
      <c r="D461" s="114"/>
      <c r="E461" s="114"/>
      <c r="F461" s="114"/>
      <c r="G461" s="114"/>
      <c r="H461" s="114"/>
      <c r="I461" s="114"/>
      <c r="J461" s="114"/>
      <c r="K461" s="114"/>
      <c r="L461" s="114"/>
      <c r="M461" s="114"/>
      <c r="N461" s="114"/>
      <c r="O461" s="114"/>
      <c r="P461" s="114"/>
      <c r="Q461" s="114"/>
      <c r="R461" s="114"/>
    </row>
    <row r="462" spans="1:18" s="115" customFormat="1" ht="20.100000000000001" customHeight="1" x14ac:dyDescent="0.15">
      <c r="A462" s="114"/>
      <c r="B462" s="114"/>
      <c r="C462" s="114"/>
      <c r="D462" s="114"/>
      <c r="E462" s="114"/>
      <c r="F462" s="114"/>
      <c r="G462" s="114"/>
      <c r="H462" s="114"/>
      <c r="I462" s="114"/>
      <c r="J462" s="114"/>
      <c r="K462" s="114"/>
      <c r="L462" s="114"/>
      <c r="M462" s="114"/>
      <c r="N462" s="114"/>
      <c r="O462" s="114"/>
      <c r="P462" s="114"/>
      <c r="Q462" s="114"/>
      <c r="R462" s="114"/>
    </row>
    <row r="463" spans="1:18" s="115" customFormat="1" ht="20.100000000000001" customHeight="1" x14ac:dyDescent="0.15">
      <c r="A463" s="114"/>
      <c r="B463" s="114"/>
      <c r="C463" s="114"/>
      <c r="D463" s="114"/>
      <c r="E463" s="114"/>
      <c r="F463" s="114"/>
      <c r="G463" s="114"/>
      <c r="H463" s="114"/>
      <c r="I463" s="114"/>
      <c r="J463" s="114"/>
      <c r="K463" s="114"/>
      <c r="L463" s="114"/>
      <c r="M463" s="114"/>
      <c r="N463" s="114"/>
      <c r="O463" s="114"/>
      <c r="P463" s="114"/>
      <c r="Q463" s="114"/>
      <c r="R463" s="114"/>
    </row>
    <row r="464" spans="1:18" s="115" customFormat="1" ht="20.100000000000001" customHeight="1" x14ac:dyDescent="0.15">
      <c r="A464" s="114"/>
      <c r="B464" s="114"/>
      <c r="C464" s="114"/>
      <c r="D464" s="114"/>
      <c r="E464" s="114"/>
      <c r="F464" s="114"/>
      <c r="G464" s="114"/>
      <c r="H464" s="114"/>
      <c r="I464" s="114"/>
      <c r="J464" s="114"/>
      <c r="K464" s="114"/>
      <c r="L464" s="114"/>
      <c r="M464" s="114"/>
      <c r="N464" s="114"/>
      <c r="O464" s="114"/>
      <c r="P464" s="114"/>
      <c r="Q464" s="114"/>
      <c r="R464" s="114"/>
    </row>
    <row r="465" spans="1:18" s="115" customFormat="1" ht="20.100000000000001" customHeight="1" x14ac:dyDescent="0.15">
      <c r="A465" s="114"/>
      <c r="B465" s="114"/>
      <c r="C465" s="114"/>
      <c r="D465" s="114"/>
      <c r="E465" s="114"/>
      <c r="F465" s="114"/>
      <c r="G465" s="114"/>
      <c r="H465" s="114"/>
      <c r="I465" s="114"/>
      <c r="J465" s="114"/>
      <c r="K465" s="114"/>
      <c r="L465" s="114"/>
      <c r="M465" s="114"/>
      <c r="N465" s="114"/>
      <c r="O465" s="114"/>
      <c r="P465" s="114"/>
      <c r="Q465" s="114"/>
      <c r="R465" s="114"/>
    </row>
    <row r="466" spans="1:18" s="115" customFormat="1" ht="20.100000000000001" customHeight="1" x14ac:dyDescent="0.15">
      <c r="A466" s="114"/>
      <c r="B466" s="114"/>
      <c r="C466" s="114"/>
      <c r="D466" s="114"/>
      <c r="E466" s="114"/>
      <c r="F466" s="114"/>
      <c r="G466" s="114"/>
      <c r="H466" s="114"/>
      <c r="I466" s="114"/>
      <c r="J466" s="114"/>
      <c r="K466" s="114"/>
      <c r="L466" s="114"/>
      <c r="M466" s="114"/>
      <c r="N466" s="114"/>
      <c r="O466" s="114"/>
      <c r="P466" s="114"/>
      <c r="Q466" s="114"/>
      <c r="R466" s="114"/>
    </row>
    <row r="467" spans="1:18" s="115" customFormat="1" ht="20.100000000000001" customHeight="1" x14ac:dyDescent="0.15">
      <c r="A467" s="114"/>
      <c r="B467" s="114"/>
      <c r="C467" s="114"/>
      <c r="D467" s="114"/>
      <c r="E467" s="114"/>
      <c r="F467" s="114"/>
      <c r="G467" s="114"/>
      <c r="H467" s="114"/>
      <c r="I467" s="114"/>
      <c r="J467" s="114"/>
      <c r="K467" s="114"/>
      <c r="L467" s="114"/>
      <c r="M467" s="114"/>
      <c r="N467" s="114"/>
      <c r="O467" s="114"/>
      <c r="P467" s="114"/>
      <c r="Q467" s="114"/>
      <c r="R467" s="114"/>
    </row>
    <row r="468" spans="1:18" s="115" customFormat="1" ht="20.100000000000001" customHeight="1" x14ac:dyDescent="0.15">
      <c r="A468" s="114"/>
      <c r="B468" s="114"/>
      <c r="C468" s="114"/>
      <c r="D468" s="114"/>
      <c r="E468" s="114"/>
      <c r="F468" s="114"/>
      <c r="G468" s="114"/>
      <c r="H468" s="114"/>
      <c r="I468" s="114"/>
      <c r="J468" s="114"/>
      <c r="K468" s="114"/>
      <c r="L468" s="114"/>
      <c r="M468" s="114"/>
      <c r="N468" s="114"/>
      <c r="O468" s="114"/>
      <c r="P468" s="114"/>
      <c r="Q468" s="114"/>
      <c r="R468" s="114"/>
    </row>
    <row r="469" spans="1:18" s="115" customFormat="1" ht="20.100000000000001" customHeight="1" x14ac:dyDescent="0.15">
      <c r="A469" s="114"/>
      <c r="B469" s="114"/>
      <c r="C469" s="114"/>
      <c r="D469" s="114"/>
      <c r="E469" s="114"/>
      <c r="F469" s="114"/>
      <c r="G469" s="114"/>
      <c r="H469" s="114"/>
      <c r="I469" s="114"/>
      <c r="J469" s="114"/>
      <c r="K469" s="114"/>
      <c r="L469" s="114"/>
      <c r="M469" s="114"/>
      <c r="N469" s="114"/>
      <c r="O469" s="114"/>
      <c r="P469" s="114"/>
      <c r="Q469" s="114"/>
      <c r="R469" s="114"/>
    </row>
    <row r="470" spans="1:18" s="115" customFormat="1" ht="20.100000000000001" customHeight="1" x14ac:dyDescent="0.15">
      <c r="A470" s="114"/>
      <c r="B470" s="114"/>
      <c r="C470" s="114"/>
      <c r="D470" s="114"/>
      <c r="E470" s="114"/>
      <c r="F470" s="114"/>
      <c r="G470" s="114"/>
      <c r="H470" s="114"/>
      <c r="I470" s="114"/>
      <c r="J470" s="114"/>
      <c r="K470" s="114"/>
      <c r="L470" s="114"/>
      <c r="M470" s="114"/>
      <c r="N470" s="114"/>
      <c r="O470" s="114"/>
      <c r="P470" s="114"/>
      <c r="Q470" s="114"/>
      <c r="R470" s="114"/>
    </row>
    <row r="471" spans="1:18" s="115" customFormat="1" ht="20.100000000000001" customHeight="1" x14ac:dyDescent="0.15">
      <c r="A471" s="114"/>
      <c r="B471" s="114"/>
      <c r="C471" s="114"/>
      <c r="D471" s="114"/>
      <c r="E471" s="114"/>
      <c r="F471" s="114"/>
      <c r="G471" s="114"/>
      <c r="H471" s="114"/>
      <c r="I471" s="114"/>
      <c r="J471" s="114"/>
      <c r="K471" s="114"/>
      <c r="L471" s="114"/>
      <c r="M471" s="114"/>
      <c r="N471" s="114"/>
      <c r="O471" s="114"/>
      <c r="P471" s="114"/>
      <c r="Q471" s="114"/>
      <c r="R471" s="114"/>
    </row>
    <row r="472" spans="1:18" s="115" customFormat="1" ht="20.100000000000001" customHeight="1" x14ac:dyDescent="0.15">
      <c r="A472" s="114"/>
      <c r="B472" s="114"/>
      <c r="C472" s="114"/>
      <c r="D472" s="114"/>
      <c r="E472" s="114"/>
      <c r="F472" s="114"/>
      <c r="G472" s="114"/>
      <c r="H472" s="114"/>
      <c r="I472" s="114"/>
      <c r="J472" s="114"/>
      <c r="K472" s="114"/>
      <c r="L472" s="114"/>
      <c r="M472" s="114"/>
      <c r="N472" s="114"/>
      <c r="O472" s="114"/>
      <c r="P472" s="114"/>
      <c r="Q472" s="114"/>
      <c r="R472" s="114"/>
    </row>
    <row r="473" spans="1:18" s="115" customFormat="1" ht="20.100000000000001" customHeight="1" x14ac:dyDescent="0.15">
      <c r="A473" s="114"/>
      <c r="B473" s="114"/>
      <c r="C473" s="114"/>
      <c r="D473" s="114"/>
      <c r="E473" s="114"/>
      <c r="F473" s="114"/>
      <c r="G473" s="114"/>
      <c r="H473" s="114"/>
      <c r="I473" s="114"/>
      <c r="J473" s="114"/>
      <c r="K473" s="114"/>
      <c r="L473" s="114"/>
      <c r="M473" s="114"/>
      <c r="N473" s="114"/>
      <c r="O473" s="114"/>
      <c r="P473" s="114"/>
      <c r="Q473" s="114"/>
      <c r="R473" s="114"/>
    </row>
    <row r="474" spans="1:18" s="115" customFormat="1" ht="20.100000000000001" customHeight="1" x14ac:dyDescent="0.15">
      <c r="A474" s="114"/>
      <c r="B474" s="114"/>
      <c r="C474" s="114"/>
      <c r="D474" s="114"/>
      <c r="E474" s="114"/>
      <c r="F474" s="114"/>
      <c r="G474" s="114"/>
      <c r="H474" s="114"/>
      <c r="I474" s="114"/>
      <c r="J474" s="114"/>
      <c r="K474" s="114"/>
      <c r="L474" s="114"/>
      <c r="M474" s="114"/>
      <c r="N474" s="114"/>
      <c r="O474" s="114"/>
      <c r="P474" s="114"/>
      <c r="Q474" s="114"/>
      <c r="R474" s="114"/>
    </row>
    <row r="475" spans="1:18" s="115" customFormat="1" ht="20.100000000000001" customHeight="1" x14ac:dyDescent="0.15">
      <c r="A475" s="114"/>
      <c r="B475" s="114"/>
      <c r="C475" s="114"/>
      <c r="D475" s="114"/>
      <c r="E475" s="114"/>
      <c r="F475" s="114"/>
      <c r="G475" s="114"/>
      <c r="H475" s="114"/>
      <c r="I475" s="114"/>
      <c r="J475" s="114"/>
      <c r="K475" s="114"/>
      <c r="L475" s="114"/>
      <c r="M475" s="114"/>
      <c r="N475" s="114"/>
      <c r="O475" s="114"/>
      <c r="P475" s="114"/>
      <c r="Q475" s="114"/>
      <c r="R475" s="114"/>
    </row>
    <row r="476" spans="1:18" s="115" customFormat="1" ht="20.100000000000001" customHeight="1" x14ac:dyDescent="0.15">
      <c r="A476" s="114"/>
      <c r="B476" s="114"/>
      <c r="C476" s="114"/>
      <c r="D476" s="114"/>
      <c r="E476" s="114"/>
      <c r="F476" s="114"/>
      <c r="G476" s="114"/>
      <c r="H476" s="114"/>
      <c r="I476" s="114"/>
      <c r="J476" s="114"/>
      <c r="K476" s="114"/>
      <c r="L476" s="114"/>
      <c r="M476" s="114"/>
      <c r="N476" s="114"/>
      <c r="O476" s="114"/>
      <c r="P476" s="114"/>
      <c r="Q476" s="114"/>
      <c r="R476" s="114"/>
    </row>
    <row r="477" spans="1:18" s="115" customFormat="1" ht="20.100000000000001" customHeight="1" x14ac:dyDescent="0.15">
      <c r="A477" s="114"/>
      <c r="B477" s="114"/>
      <c r="C477" s="114"/>
      <c r="D477" s="114"/>
      <c r="E477" s="114"/>
      <c r="F477" s="114"/>
      <c r="G477" s="114"/>
      <c r="H477" s="114"/>
      <c r="I477" s="114"/>
      <c r="J477" s="114"/>
      <c r="K477" s="114"/>
      <c r="L477" s="114"/>
      <c r="M477" s="114"/>
      <c r="N477" s="114"/>
      <c r="O477" s="114"/>
      <c r="P477" s="114"/>
      <c r="Q477" s="114"/>
      <c r="R477" s="114"/>
    </row>
    <row r="478" spans="1:18" s="115" customFormat="1" ht="20.100000000000001" customHeight="1" x14ac:dyDescent="0.15">
      <c r="A478" s="114"/>
      <c r="B478" s="114"/>
      <c r="C478" s="114"/>
      <c r="D478" s="114"/>
      <c r="E478" s="114"/>
      <c r="F478" s="114"/>
      <c r="G478" s="114"/>
      <c r="H478" s="114"/>
      <c r="I478" s="114"/>
      <c r="J478" s="114"/>
      <c r="K478" s="114"/>
      <c r="L478" s="114"/>
      <c r="M478" s="114"/>
      <c r="N478" s="114"/>
      <c r="O478" s="114"/>
      <c r="P478" s="114"/>
      <c r="Q478" s="114"/>
      <c r="R478" s="114"/>
    </row>
    <row r="479" spans="1:18" s="115" customFormat="1" ht="20.100000000000001" customHeight="1" x14ac:dyDescent="0.15">
      <c r="A479" s="114"/>
      <c r="B479" s="114"/>
      <c r="C479" s="114"/>
      <c r="D479" s="114"/>
      <c r="E479" s="114"/>
      <c r="F479" s="114"/>
      <c r="G479" s="114"/>
      <c r="H479" s="114"/>
      <c r="I479" s="114"/>
      <c r="J479" s="114"/>
      <c r="K479" s="114"/>
      <c r="L479" s="114"/>
      <c r="M479" s="114"/>
      <c r="N479" s="114"/>
      <c r="O479" s="114"/>
      <c r="P479" s="114"/>
      <c r="Q479" s="114"/>
      <c r="R479" s="114"/>
    </row>
    <row r="480" spans="1:18" s="115" customFormat="1" ht="20.100000000000001" customHeight="1" x14ac:dyDescent="0.15">
      <c r="A480" s="114"/>
      <c r="B480" s="114"/>
      <c r="C480" s="114"/>
      <c r="D480" s="114"/>
      <c r="E480" s="114"/>
      <c r="F480" s="114"/>
      <c r="G480" s="114"/>
      <c r="H480" s="114"/>
      <c r="I480" s="114"/>
      <c r="J480" s="114"/>
      <c r="K480" s="114"/>
      <c r="L480" s="114"/>
      <c r="M480" s="114"/>
      <c r="N480" s="114"/>
      <c r="O480" s="114"/>
      <c r="P480" s="114"/>
      <c r="Q480" s="114"/>
      <c r="R480" s="114"/>
    </row>
    <row r="481" spans="1:18" s="115" customFormat="1" ht="20.100000000000001" customHeight="1" x14ac:dyDescent="0.15">
      <c r="A481" s="114"/>
      <c r="B481" s="114"/>
      <c r="C481" s="114"/>
      <c r="D481" s="114"/>
      <c r="E481" s="114"/>
      <c r="F481" s="114"/>
      <c r="G481" s="114"/>
      <c r="H481" s="114"/>
      <c r="I481" s="114"/>
      <c r="J481" s="114"/>
      <c r="K481" s="114"/>
      <c r="L481" s="114"/>
      <c r="M481" s="114"/>
      <c r="N481" s="114"/>
      <c r="O481" s="114"/>
      <c r="P481" s="114"/>
      <c r="Q481" s="114"/>
      <c r="R481" s="114"/>
    </row>
    <row r="482" spans="1:18" s="115" customFormat="1" ht="20.100000000000001" customHeight="1" x14ac:dyDescent="0.15">
      <c r="A482" s="114"/>
      <c r="B482" s="114"/>
      <c r="C482" s="114"/>
      <c r="D482" s="114"/>
      <c r="E482" s="114"/>
      <c r="F482" s="114"/>
      <c r="G482" s="114"/>
      <c r="H482" s="114"/>
      <c r="I482" s="114"/>
      <c r="J482" s="114"/>
      <c r="K482" s="114"/>
      <c r="L482" s="114"/>
      <c r="M482" s="114"/>
      <c r="N482" s="114"/>
      <c r="O482" s="114"/>
      <c r="P482" s="114"/>
      <c r="Q482" s="114"/>
      <c r="R482" s="114"/>
    </row>
    <row r="483" spans="1:18" s="115" customFormat="1" ht="20.100000000000001" customHeight="1" x14ac:dyDescent="0.15">
      <c r="A483" s="114"/>
      <c r="B483" s="114"/>
      <c r="C483" s="114"/>
      <c r="D483" s="114"/>
      <c r="E483" s="114"/>
      <c r="F483" s="114"/>
      <c r="G483" s="114"/>
      <c r="H483" s="114"/>
      <c r="I483" s="114"/>
      <c r="J483" s="114"/>
      <c r="K483" s="114"/>
      <c r="L483" s="114"/>
      <c r="M483" s="114"/>
      <c r="N483" s="114"/>
      <c r="O483" s="114"/>
      <c r="P483" s="114"/>
      <c r="Q483" s="114"/>
      <c r="R483" s="114"/>
    </row>
    <row r="484" spans="1:18" s="115" customFormat="1" ht="20.100000000000001" customHeight="1" x14ac:dyDescent="0.15">
      <c r="A484" s="114"/>
      <c r="B484" s="114"/>
      <c r="C484" s="114"/>
      <c r="D484" s="114"/>
      <c r="E484" s="114"/>
      <c r="F484" s="114"/>
      <c r="G484" s="114"/>
      <c r="H484" s="114"/>
      <c r="I484" s="114"/>
      <c r="J484" s="114"/>
      <c r="K484" s="114"/>
      <c r="L484" s="114"/>
      <c r="M484" s="114"/>
      <c r="N484" s="114"/>
      <c r="O484" s="114"/>
      <c r="P484" s="114"/>
      <c r="Q484" s="114"/>
      <c r="R484" s="114"/>
    </row>
    <row r="485" spans="1:18" s="115" customFormat="1" ht="20.100000000000001" customHeight="1" x14ac:dyDescent="0.15">
      <c r="A485" s="114"/>
      <c r="B485" s="114"/>
      <c r="C485" s="114"/>
      <c r="D485" s="114"/>
      <c r="E485" s="114"/>
      <c r="F485" s="114"/>
      <c r="G485" s="114"/>
      <c r="H485" s="114"/>
      <c r="I485" s="114"/>
      <c r="J485" s="114"/>
      <c r="K485" s="114"/>
      <c r="L485" s="114"/>
      <c r="M485" s="114"/>
      <c r="N485" s="114"/>
      <c r="O485" s="114"/>
      <c r="P485" s="114"/>
      <c r="Q485" s="114"/>
      <c r="R485" s="114"/>
    </row>
    <row r="486" spans="1:18" s="115" customFormat="1" ht="20.100000000000001" customHeight="1" x14ac:dyDescent="0.15">
      <c r="A486" s="114"/>
      <c r="B486" s="114"/>
      <c r="C486" s="114"/>
      <c r="D486" s="114"/>
      <c r="E486" s="114"/>
      <c r="F486" s="114"/>
      <c r="G486" s="114"/>
      <c r="H486" s="114"/>
      <c r="I486" s="114"/>
      <c r="J486" s="114"/>
      <c r="K486" s="114"/>
      <c r="L486" s="114"/>
      <c r="M486" s="114"/>
      <c r="N486" s="114"/>
      <c r="O486" s="114"/>
      <c r="P486" s="114"/>
      <c r="Q486" s="114"/>
      <c r="R486" s="114"/>
    </row>
    <row r="487" spans="1:18" s="115" customFormat="1" ht="20.100000000000001" customHeight="1" x14ac:dyDescent="0.15">
      <c r="A487" s="114"/>
      <c r="B487" s="114"/>
      <c r="C487" s="114"/>
      <c r="D487" s="114"/>
      <c r="E487" s="114"/>
      <c r="F487" s="114"/>
      <c r="G487" s="114"/>
      <c r="H487" s="114"/>
      <c r="I487" s="114"/>
      <c r="J487" s="114"/>
      <c r="K487" s="114"/>
      <c r="L487" s="114"/>
      <c r="M487" s="114"/>
      <c r="N487" s="114"/>
      <c r="O487" s="114"/>
      <c r="P487" s="114"/>
      <c r="Q487" s="114"/>
      <c r="R487" s="114"/>
    </row>
    <row r="488" spans="1:18" s="115" customFormat="1" ht="20.100000000000001" customHeight="1" x14ac:dyDescent="0.15">
      <c r="A488" s="114"/>
      <c r="B488" s="114"/>
      <c r="C488" s="114"/>
      <c r="D488" s="114"/>
      <c r="E488" s="114"/>
      <c r="F488" s="114"/>
      <c r="G488" s="114"/>
      <c r="H488" s="114"/>
      <c r="I488" s="114"/>
      <c r="J488" s="114"/>
      <c r="K488" s="114"/>
      <c r="L488" s="114"/>
      <c r="M488" s="114"/>
      <c r="N488" s="114"/>
      <c r="O488" s="114"/>
      <c r="P488" s="114"/>
      <c r="Q488" s="114"/>
      <c r="R488" s="114"/>
    </row>
    <row r="489" spans="1:18" s="115" customFormat="1" ht="20.100000000000001" customHeight="1" x14ac:dyDescent="0.15">
      <c r="A489" s="114"/>
      <c r="B489" s="114"/>
      <c r="C489" s="114"/>
      <c r="D489" s="114"/>
      <c r="E489" s="114"/>
      <c r="F489" s="114"/>
      <c r="G489" s="114"/>
      <c r="H489" s="114"/>
      <c r="I489" s="114"/>
      <c r="J489" s="114"/>
      <c r="K489" s="114"/>
      <c r="L489" s="114"/>
      <c r="M489" s="114"/>
      <c r="N489" s="114"/>
      <c r="O489" s="114"/>
      <c r="P489" s="114"/>
      <c r="Q489" s="114"/>
      <c r="R489" s="114"/>
    </row>
    <row r="490" spans="1:18" s="115" customFormat="1" ht="20.100000000000001" customHeight="1" x14ac:dyDescent="0.15">
      <c r="A490" s="114"/>
      <c r="B490" s="114"/>
      <c r="C490" s="114"/>
      <c r="D490" s="114"/>
      <c r="E490" s="114"/>
      <c r="F490" s="114"/>
      <c r="G490" s="114"/>
      <c r="H490" s="114"/>
      <c r="I490" s="114"/>
      <c r="J490" s="114"/>
      <c r="K490" s="114"/>
      <c r="L490" s="114"/>
      <c r="M490" s="114"/>
      <c r="N490" s="114"/>
      <c r="O490" s="114"/>
      <c r="P490" s="114"/>
      <c r="Q490" s="114"/>
      <c r="R490" s="114"/>
    </row>
    <row r="491" spans="1:18" s="115" customFormat="1" ht="20.100000000000001" customHeight="1" x14ac:dyDescent="0.15">
      <c r="A491" s="114"/>
      <c r="B491" s="114"/>
      <c r="C491" s="114"/>
      <c r="D491" s="114"/>
      <c r="E491" s="114"/>
      <c r="F491" s="114"/>
      <c r="G491" s="114"/>
      <c r="H491" s="114"/>
      <c r="I491" s="114"/>
      <c r="J491" s="114"/>
      <c r="K491" s="114"/>
      <c r="L491" s="114"/>
      <c r="M491" s="114"/>
      <c r="N491" s="114"/>
      <c r="O491" s="114"/>
      <c r="P491" s="114"/>
      <c r="Q491" s="114"/>
      <c r="R491" s="114"/>
    </row>
    <row r="492" spans="1:18" s="115" customFormat="1" ht="20.100000000000001" customHeight="1" x14ac:dyDescent="0.15">
      <c r="A492" s="114"/>
      <c r="B492" s="114"/>
      <c r="C492" s="114"/>
      <c r="D492" s="114"/>
      <c r="E492" s="114"/>
      <c r="F492" s="114"/>
      <c r="G492" s="114"/>
      <c r="H492" s="114"/>
      <c r="I492" s="114"/>
      <c r="J492" s="114"/>
      <c r="K492" s="114"/>
      <c r="L492" s="114"/>
      <c r="M492" s="114"/>
      <c r="N492" s="114"/>
      <c r="O492" s="114"/>
      <c r="P492" s="114"/>
      <c r="Q492" s="114"/>
      <c r="R492" s="114"/>
    </row>
    <row r="493" spans="1:18" s="115" customFormat="1" ht="20.100000000000001" customHeight="1" x14ac:dyDescent="0.15">
      <c r="A493" s="114"/>
      <c r="B493" s="114"/>
      <c r="C493" s="114"/>
      <c r="D493" s="114"/>
      <c r="E493" s="114"/>
      <c r="F493" s="114"/>
      <c r="G493" s="114"/>
      <c r="H493" s="114"/>
      <c r="I493" s="114"/>
      <c r="J493" s="114"/>
      <c r="K493" s="114"/>
      <c r="L493" s="114"/>
      <c r="M493" s="114"/>
      <c r="N493" s="114"/>
      <c r="O493" s="114"/>
      <c r="P493" s="114"/>
      <c r="Q493" s="114"/>
      <c r="R493" s="114"/>
    </row>
    <row r="494" spans="1:18" s="115" customFormat="1" ht="20.100000000000001" customHeight="1" x14ac:dyDescent="0.15">
      <c r="A494" s="114"/>
      <c r="B494" s="114"/>
      <c r="C494" s="114"/>
      <c r="D494" s="114"/>
      <c r="E494" s="114"/>
      <c r="F494" s="114"/>
      <c r="G494" s="114"/>
      <c r="H494" s="114"/>
      <c r="I494" s="114"/>
      <c r="J494" s="114"/>
      <c r="K494" s="114"/>
      <c r="L494" s="114"/>
      <c r="M494" s="114"/>
      <c r="N494" s="114"/>
      <c r="O494" s="114"/>
      <c r="P494" s="114"/>
      <c r="Q494" s="114"/>
      <c r="R494" s="114"/>
    </row>
    <row r="495" spans="1:18" s="115" customFormat="1" ht="20.100000000000001" customHeight="1" x14ac:dyDescent="0.15">
      <c r="A495" s="114"/>
      <c r="B495" s="114"/>
      <c r="C495" s="114"/>
      <c r="D495" s="114"/>
      <c r="E495" s="114"/>
      <c r="F495" s="114"/>
      <c r="G495" s="114"/>
      <c r="H495" s="114"/>
      <c r="I495" s="114"/>
      <c r="J495" s="114"/>
      <c r="K495" s="114"/>
      <c r="L495" s="114"/>
      <c r="M495" s="114"/>
      <c r="N495" s="114"/>
      <c r="O495" s="114"/>
      <c r="P495" s="114"/>
      <c r="Q495" s="114"/>
      <c r="R495" s="114"/>
    </row>
    <row r="496" spans="1:18" s="115" customFormat="1" ht="20.100000000000001" customHeight="1" x14ac:dyDescent="0.15">
      <c r="A496" s="114"/>
      <c r="B496" s="114"/>
      <c r="C496" s="114"/>
      <c r="D496" s="114"/>
      <c r="E496" s="114"/>
      <c r="F496" s="114"/>
      <c r="G496" s="114"/>
      <c r="H496" s="114"/>
      <c r="I496" s="114"/>
      <c r="J496" s="114"/>
      <c r="K496" s="114"/>
      <c r="L496" s="114"/>
      <c r="M496" s="114"/>
      <c r="N496" s="114"/>
      <c r="O496" s="114"/>
      <c r="P496" s="114"/>
      <c r="Q496" s="114"/>
      <c r="R496" s="114"/>
    </row>
    <row r="497" spans="1:18" s="115" customFormat="1" ht="20.100000000000001" customHeight="1" x14ac:dyDescent="0.15">
      <c r="A497" s="114"/>
      <c r="B497" s="114"/>
      <c r="C497" s="114"/>
      <c r="D497" s="114"/>
      <c r="E497" s="114"/>
      <c r="F497" s="114"/>
      <c r="G497" s="114"/>
      <c r="H497" s="114"/>
      <c r="I497" s="114"/>
      <c r="J497" s="114"/>
      <c r="K497" s="114"/>
      <c r="L497" s="114"/>
      <c r="M497" s="114"/>
      <c r="N497" s="114"/>
      <c r="O497" s="114"/>
      <c r="P497" s="114"/>
      <c r="Q497" s="114"/>
      <c r="R497" s="114"/>
    </row>
    <row r="498" spans="1:18" s="115" customFormat="1" ht="20.100000000000001" customHeight="1" x14ac:dyDescent="0.15">
      <c r="A498" s="114"/>
      <c r="B498" s="114"/>
      <c r="C498" s="114"/>
      <c r="D498" s="114"/>
      <c r="E498" s="114"/>
      <c r="F498" s="114"/>
      <c r="G498" s="114"/>
      <c r="H498" s="114"/>
      <c r="I498" s="114"/>
      <c r="J498" s="114"/>
      <c r="K498" s="114"/>
      <c r="L498" s="114"/>
      <c r="M498" s="114"/>
      <c r="N498" s="114"/>
      <c r="O498" s="114"/>
      <c r="P498" s="114"/>
      <c r="Q498" s="114"/>
      <c r="R498" s="114"/>
    </row>
    <row r="499" spans="1:18" s="115" customFormat="1" ht="20.100000000000001" customHeight="1" x14ac:dyDescent="0.15">
      <c r="A499" s="114"/>
      <c r="B499" s="114"/>
      <c r="C499" s="114"/>
      <c r="D499" s="114"/>
      <c r="E499" s="114"/>
      <c r="F499" s="114"/>
      <c r="G499" s="114"/>
      <c r="H499" s="114"/>
      <c r="I499" s="114"/>
      <c r="J499" s="114"/>
      <c r="K499" s="114"/>
      <c r="L499" s="114"/>
      <c r="M499" s="114"/>
      <c r="N499" s="114"/>
      <c r="O499" s="114"/>
      <c r="P499" s="114"/>
      <c r="Q499" s="114"/>
      <c r="R499" s="114"/>
    </row>
    <row r="500" spans="1:18" s="115" customFormat="1" ht="20.100000000000001" customHeight="1" x14ac:dyDescent="0.15">
      <c r="A500" s="114"/>
      <c r="B500" s="114"/>
      <c r="C500" s="114"/>
      <c r="D500" s="114"/>
      <c r="E500" s="114"/>
      <c r="F500" s="114"/>
      <c r="G500" s="114"/>
      <c r="H500" s="114"/>
      <c r="I500" s="114"/>
      <c r="J500" s="114"/>
      <c r="K500" s="114"/>
      <c r="L500" s="114"/>
      <c r="M500" s="114"/>
      <c r="N500" s="114"/>
      <c r="O500" s="114"/>
      <c r="P500" s="114"/>
      <c r="Q500" s="114"/>
      <c r="R500" s="114"/>
    </row>
    <row r="501" spans="1:18" s="115" customFormat="1" ht="20.100000000000001" customHeight="1" x14ac:dyDescent="0.15">
      <c r="A501" s="114"/>
      <c r="B501" s="114"/>
      <c r="C501" s="114"/>
      <c r="D501" s="114"/>
      <c r="E501" s="114"/>
      <c r="F501" s="114"/>
      <c r="G501" s="114"/>
      <c r="H501" s="114"/>
      <c r="I501" s="114"/>
      <c r="J501" s="114"/>
      <c r="K501" s="114"/>
      <c r="L501" s="114"/>
      <c r="M501" s="114"/>
      <c r="N501" s="114"/>
      <c r="O501" s="114"/>
      <c r="P501" s="114"/>
      <c r="Q501" s="114"/>
      <c r="R501" s="114"/>
    </row>
    <row r="502" spans="1:18" s="115" customFormat="1" ht="20.100000000000001" customHeight="1" x14ac:dyDescent="0.15">
      <c r="A502" s="114"/>
      <c r="B502" s="114"/>
      <c r="C502" s="114"/>
      <c r="D502" s="114"/>
      <c r="E502" s="114"/>
      <c r="F502" s="114"/>
      <c r="G502" s="114"/>
      <c r="H502" s="114"/>
      <c r="I502" s="114"/>
      <c r="J502" s="114"/>
      <c r="K502" s="114"/>
      <c r="L502" s="114"/>
      <c r="M502" s="114"/>
      <c r="N502" s="114"/>
      <c r="O502" s="114"/>
      <c r="P502" s="114"/>
      <c r="Q502" s="114"/>
      <c r="R502" s="114"/>
    </row>
    <row r="503" spans="1:18" s="115" customFormat="1" ht="20.100000000000001" customHeight="1" x14ac:dyDescent="0.15">
      <c r="A503" s="114"/>
      <c r="B503" s="114"/>
      <c r="C503" s="114"/>
      <c r="D503" s="114"/>
      <c r="E503" s="114"/>
      <c r="F503" s="114"/>
      <c r="G503" s="114"/>
      <c r="H503" s="114"/>
      <c r="I503" s="114"/>
      <c r="J503" s="114"/>
      <c r="K503" s="114"/>
      <c r="L503" s="114"/>
      <c r="M503" s="114"/>
      <c r="N503" s="114"/>
      <c r="O503" s="114"/>
      <c r="P503" s="114"/>
      <c r="Q503" s="114"/>
      <c r="R503" s="114"/>
    </row>
    <row r="504" spans="1:18" s="115" customFormat="1" ht="20.100000000000001" customHeight="1" x14ac:dyDescent="0.15">
      <c r="A504" s="114"/>
      <c r="B504" s="114"/>
      <c r="C504" s="114"/>
      <c r="D504" s="114"/>
      <c r="E504" s="114"/>
      <c r="F504" s="114"/>
      <c r="G504" s="114"/>
      <c r="H504" s="114"/>
      <c r="I504" s="114"/>
      <c r="J504" s="114"/>
      <c r="K504" s="114"/>
      <c r="L504" s="114"/>
      <c r="M504" s="114"/>
      <c r="N504" s="114"/>
      <c r="O504" s="114"/>
      <c r="P504" s="114"/>
      <c r="Q504" s="114"/>
      <c r="R504" s="114"/>
    </row>
    <row r="505" spans="1:18" s="115" customFormat="1" ht="20.100000000000001" customHeight="1" x14ac:dyDescent="0.15">
      <c r="A505" s="114"/>
      <c r="B505" s="114"/>
      <c r="C505" s="114"/>
      <c r="D505" s="114"/>
      <c r="E505" s="114"/>
      <c r="F505" s="114"/>
      <c r="G505" s="114"/>
      <c r="H505" s="114"/>
      <c r="I505" s="114"/>
      <c r="J505" s="114"/>
      <c r="K505" s="114"/>
      <c r="L505" s="114"/>
      <c r="M505" s="114"/>
      <c r="N505" s="114"/>
      <c r="O505" s="114"/>
      <c r="P505" s="114"/>
      <c r="Q505" s="114"/>
      <c r="R505" s="114"/>
    </row>
    <row r="506" spans="1:18" s="115" customFormat="1" ht="20.100000000000001" customHeight="1" x14ac:dyDescent="0.15"/>
    <row r="507" spans="1:18" s="115" customFormat="1" ht="20.100000000000001" customHeight="1" x14ac:dyDescent="0.15"/>
    <row r="508" spans="1:18" s="115" customFormat="1" ht="20.100000000000001" customHeight="1" x14ac:dyDescent="0.15"/>
    <row r="509" spans="1:18" s="115" customFormat="1" ht="20.100000000000001" customHeight="1" x14ac:dyDescent="0.15"/>
    <row r="510" spans="1:18" s="115" customFormat="1" ht="20.100000000000001" customHeight="1" x14ac:dyDescent="0.15"/>
    <row r="511" spans="1:18" s="115" customFormat="1" ht="20.100000000000001" customHeight="1" x14ac:dyDescent="0.15"/>
    <row r="512" spans="1:18" s="115" customFormat="1" ht="20.100000000000001" customHeight="1" x14ac:dyDescent="0.15"/>
    <row r="513" s="115" customFormat="1" ht="20.100000000000001" customHeight="1" x14ac:dyDescent="0.15"/>
    <row r="514" s="115" customFormat="1" ht="20.100000000000001" customHeight="1" x14ac:dyDescent="0.15"/>
    <row r="515" s="115" customFormat="1" ht="20.100000000000001" customHeight="1" x14ac:dyDescent="0.15"/>
    <row r="516" s="115" customFormat="1" ht="20.100000000000001" customHeight="1" x14ac:dyDescent="0.15"/>
    <row r="517" s="115" customFormat="1" ht="20.100000000000001" customHeight="1" x14ac:dyDescent="0.15"/>
    <row r="518" s="115" customFormat="1" ht="20.100000000000001" customHeight="1" x14ac:dyDescent="0.15"/>
    <row r="519" s="115" customFormat="1" ht="20.100000000000001" customHeight="1" x14ac:dyDescent="0.15"/>
    <row r="520" s="115" customFormat="1" ht="20.100000000000001" customHeight="1" x14ac:dyDescent="0.15"/>
    <row r="521" s="115" customFormat="1" ht="20.100000000000001" customHeight="1" x14ac:dyDescent="0.15"/>
    <row r="522" s="115" customFormat="1" ht="20.100000000000001" customHeight="1" x14ac:dyDescent="0.15"/>
    <row r="523" s="115" customFormat="1" ht="20.100000000000001" customHeight="1" x14ac:dyDescent="0.15"/>
    <row r="524" s="115" customFormat="1" ht="20.100000000000001" customHeight="1" x14ac:dyDescent="0.15"/>
    <row r="525" s="115" customFormat="1" ht="20.100000000000001" customHeight="1" x14ac:dyDescent="0.15"/>
    <row r="526" s="115" customFormat="1" ht="20.100000000000001" customHeight="1" x14ac:dyDescent="0.15"/>
    <row r="527" s="115" customFormat="1" ht="20.100000000000001" customHeight="1" x14ac:dyDescent="0.15"/>
    <row r="528" s="115" customFormat="1" ht="20.100000000000001" customHeight="1" x14ac:dyDescent="0.15"/>
    <row r="529" s="115" customFormat="1" ht="20.100000000000001" customHeight="1" x14ac:dyDescent="0.15"/>
    <row r="530" s="115" customFormat="1" ht="20.100000000000001" customHeight="1" x14ac:dyDescent="0.15"/>
    <row r="531" s="115" customFormat="1" ht="20.100000000000001" customHeight="1" x14ac:dyDescent="0.15"/>
    <row r="532" s="115" customFormat="1" ht="20.100000000000001" customHeight="1" x14ac:dyDescent="0.15"/>
    <row r="533" s="115" customFormat="1" ht="20.100000000000001" customHeight="1" x14ac:dyDescent="0.15"/>
    <row r="534" s="115" customFormat="1" ht="20.100000000000001" customHeight="1" x14ac:dyDescent="0.15"/>
    <row r="535" s="115" customFormat="1" ht="20.100000000000001" customHeight="1" x14ac:dyDescent="0.15"/>
    <row r="536" s="115" customFormat="1" ht="20.100000000000001" customHeight="1" x14ac:dyDescent="0.15"/>
    <row r="537" s="115" customFormat="1" ht="20.100000000000001" customHeight="1" x14ac:dyDescent="0.15"/>
    <row r="538" s="115" customFormat="1" ht="20.100000000000001" customHeight="1" x14ac:dyDescent="0.15"/>
    <row r="539" s="115" customFormat="1" ht="20.100000000000001" customHeight="1" x14ac:dyDescent="0.15"/>
    <row r="540" s="115" customFormat="1" ht="20.100000000000001" customHeight="1" x14ac:dyDescent="0.15"/>
    <row r="541" s="115" customFormat="1" ht="20.100000000000001" customHeight="1" x14ac:dyDescent="0.15"/>
    <row r="542" s="115" customFormat="1" ht="20.100000000000001" customHeight="1" x14ac:dyDescent="0.15"/>
    <row r="543" s="115" customFormat="1" ht="20.100000000000001" customHeight="1" x14ac:dyDescent="0.15"/>
    <row r="544" s="115" customFormat="1" ht="20.100000000000001" customHeight="1" x14ac:dyDescent="0.15"/>
    <row r="545" s="115" customFormat="1" ht="20.100000000000001" customHeight="1" x14ac:dyDescent="0.15"/>
    <row r="546" s="115" customFormat="1" ht="20.100000000000001" customHeight="1" x14ac:dyDescent="0.15"/>
    <row r="547" s="115" customFormat="1" ht="20.100000000000001" customHeight="1" x14ac:dyDescent="0.15"/>
    <row r="548" s="115" customFormat="1" ht="20.100000000000001" customHeight="1" x14ac:dyDescent="0.15"/>
    <row r="549" s="115" customFormat="1" ht="20.100000000000001" customHeight="1" x14ac:dyDescent="0.15"/>
    <row r="550" s="115" customFormat="1" ht="20.100000000000001" customHeight="1" x14ac:dyDescent="0.15"/>
    <row r="551" s="115" customFormat="1" ht="20.100000000000001" customHeight="1" x14ac:dyDescent="0.15"/>
    <row r="552" s="115" customFormat="1" ht="20.100000000000001" customHeight="1" x14ac:dyDescent="0.15"/>
    <row r="553" s="115" customFormat="1" ht="20.100000000000001" customHeight="1" x14ac:dyDescent="0.15"/>
    <row r="554" s="115" customFormat="1" ht="20.100000000000001" customHeight="1" x14ac:dyDescent="0.15"/>
    <row r="555" s="115" customFormat="1" ht="20.100000000000001" customHeight="1" x14ac:dyDescent="0.15"/>
    <row r="556" s="115" customFormat="1" ht="20.100000000000001" customHeight="1" x14ac:dyDescent="0.15"/>
    <row r="557" s="115" customFormat="1" ht="20.100000000000001" customHeight="1" x14ac:dyDescent="0.15"/>
    <row r="558" s="115" customFormat="1" ht="20.100000000000001" customHeight="1" x14ac:dyDescent="0.15"/>
    <row r="559" s="115" customFormat="1" ht="20.100000000000001" customHeight="1" x14ac:dyDescent="0.15"/>
    <row r="560" s="115" customFormat="1" ht="20.100000000000001" customHeight="1" x14ac:dyDescent="0.15"/>
    <row r="561" s="115" customFormat="1" ht="20.100000000000001" customHeight="1" x14ac:dyDescent="0.15"/>
    <row r="562" s="115" customFormat="1" ht="20.100000000000001" customHeight="1" x14ac:dyDescent="0.15"/>
    <row r="563" s="115" customFormat="1" ht="20.100000000000001" customHeight="1" x14ac:dyDescent="0.15"/>
    <row r="564" s="115" customFormat="1" ht="20.100000000000001" customHeight="1" x14ac:dyDescent="0.15"/>
    <row r="565" s="115" customFormat="1" ht="20.100000000000001" customHeight="1" x14ac:dyDescent="0.15"/>
    <row r="566" s="115" customFormat="1" ht="20.100000000000001" customHeight="1" x14ac:dyDescent="0.15"/>
    <row r="567" s="115" customFormat="1" ht="20.100000000000001" customHeight="1" x14ac:dyDescent="0.15"/>
    <row r="568" s="115" customFormat="1" ht="20.100000000000001" customHeight="1" x14ac:dyDescent="0.15"/>
    <row r="569" s="115" customFormat="1" ht="20.100000000000001" customHeight="1" x14ac:dyDescent="0.15"/>
    <row r="570" s="115" customFormat="1" ht="20.100000000000001" customHeight="1" x14ac:dyDescent="0.15"/>
    <row r="571" s="115" customFormat="1" ht="20.100000000000001" customHeight="1" x14ac:dyDescent="0.15"/>
    <row r="572" s="115" customFormat="1" ht="20.100000000000001" customHeight="1" x14ac:dyDescent="0.15"/>
    <row r="573" s="115" customFormat="1" ht="20.100000000000001" customHeight="1" x14ac:dyDescent="0.15"/>
    <row r="574" s="115" customFormat="1" ht="20.100000000000001" customHeight="1" x14ac:dyDescent="0.15"/>
    <row r="575" s="115" customFormat="1" ht="20.100000000000001" customHeight="1" x14ac:dyDescent="0.15"/>
    <row r="576" s="115" customFormat="1" ht="20.100000000000001" customHeight="1" x14ac:dyDescent="0.15"/>
    <row r="577" s="115" customFormat="1" ht="20.100000000000001" customHeight="1" x14ac:dyDescent="0.15"/>
    <row r="578" s="115" customFormat="1" ht="20.100000000000001" customHeight="1" x14ac:dyDescent="0.15"/>
    <row r="579" s="115" customFormat="1" ht="20.100000000000001" customHeight="1" x14ac:dyDescent="0.15"/>
    <row r="580" s="115" customFormat="1" ht="20.100000000000001" customHeight="1" x14ac:dyDescent="0.15"/>
    <row r="581" s="115" customFormat="1" ht="20.100000000000001" customHeight="1" x14ac:dyDescent="0.15"/>
    <row r="582" s="115" customFormat="1" ht="20.100000000000001" customHeight="1" x14ac:dyDescent="0.15"/>
    <row r="583" s="115" customFormat="1" ht="20.100000000000001" customHeight="1" x14ac:dyDescent="0.15"/>
    <row r="584" s="115" customFormat="1" ht="20.100000000000001" customHeight="1" x14ac:dyDescent="0.15"/>
    <row r="585" s="115" customFormat="1" ht="20.100000000000001" customHeight="1" x14ac:dyDescent="0.15"/>
    <row r="586" s="115" customFormat="1" ht="20.100000000000001" customHeight="1" x14ac:dyDescent="0.15"/>
    <row r="587" s="115" customFormat="1" ht="20.100000000000001" customHeight="1" x14ac:dyDescent="0.15"/>
    <row r="588" s="115" customFormat="1" ht="20.100000000000001" customHeight="1" x14ac:dyDescent="0.15"/>
    <row r="589" s="115" customFormat="1" ht="20.100000000000001" customHeight="1" x14ac:dyDescent="0.15"/>
    <row r="590" s="115" customFormat="1" ht="20.100000000000001" customHeight="1" x14ac:dyDescent="0.15"/>
    <row r="591" s="115" customFormat="1" ht="20.100000000000001" customHeight="1" x14ac:dyDescent="0.15"/>
    <row r="592" s="115" customFormat="1" ht="20.100000000000001" customHeight="1" x14ac:dyDescent="0.15"/>
    <row r="593" spans="1:18" s="115" customFormat="1" ht="20.100000000000001" customHeight="1" x14ac:dyDescent="0.15"/>
    <row r="594" spans="1:18" s="115" customFormat="1" ht="20.100000000000001" customHeight="1" x14ac:dyDescent="0.15"/>
    <row r="595" spans="1:18" s="115" customFormat="1" ht="20.100000000000001" customHeight="1" x14ac:dyDescent="0.15"/>
    <row r="596" spans="1:18" s="115" customFormat="1" ht="20.100000000000001" customHeight="1" x14ac:dyDescent="0.15"/>
    <row r="597" spans="1:18" s="115" customFormat="1" ht="20.100000000000001" customHeight="1" x14ac:dyDescent="0.15"/>
    <row r="598" spans="1:18" s="115" customFormat="1" ht="20.100000000000001" customHeight="1" x14ac:dyDescent="0.15"/>
    <row r="599" spans="1:18" s="115" customFormat="1" ht="20.100000000000001" customHeight="1" x14ac:dyDescent="0.15"/>
    <row r="600" spans="1:18" ht="20.100000000000001" customHeight="1" x14ac:dyDescent="0.25">
      <c r="A600" s="115"/>
      <c r="B600" s="115"/>
      <c r="C600" s="115"/>
      <c r="D600" s="115"/>
      <c r="E600" s="115"/>
      <c r="F600" s="115"/>
      <c r="G600" s="115"/>
      <c r="H600" s="115"/>
      <c r="I600" s="115"/>
      <c r="J600" s="115"/>
      <c r="K600" s="115"/>
      <c r="L600" s="115"/>
      <c r="M600" s="115"/>
      <c r="N600" s="115"/>
      <c r="O600" s="115"/>
      <c r="P600" s="115"/>
      <c r="Q600" s="115"/>
      <c r="R600" s="115"/>
    </row>
  </sheetData>
  <mergeCells count="219">
    <mergeCell ref="B126:R126"/>
    <mergeCell ref="A127:B127"/>
    <mergeCell ref="C127:R127"/>
    <mergeCell ref="A128:B128"/>
    <mergeCell ref="C128:R128"/>
    <mergeCell ref="B129:R129"/>
    <mergeCell ref="B121:R121"/>
    <mergeCell ref="A122:R122"/>
    <mergeCell ref="B123:R123"/>
    <mergeCell ref="A124:B124"/>
    <mergeCell ref="C124:R124"/>
    <mergeCell ref="B125:R125"/>
    <mergeCell ref="B172:R172"/>
    <mergeCell ref="B173:R173"/>
    <mergeCell ref="B174:R174"/>
    <mergeCell ref="A175:R175"/>
    <mergeCell ref="A176:R176"/>
    <mergeCell ref="B177:K177"/>
    <mergeCell ref="M177:R177"/>
    <mergeCell ref="B166:R166"/>
    <mergeCell ref="B181:K181"/>
    <mergeCell ref="M181:R181"/>
    <mergeCell ref="B167:R167"/>
    <mergeCell ref="B168:R168"/>
    <mergeCell ref="B169:R169"/>
    <mergeCell ref="B170:R170"/>
    <mergeCell ref="B171:R171"/>
    <mergeCell ref="B178:K178"/>
    <mergeCell ref="M178:R178"/>
    <mergeCell ref="B179:K179"/>
    <mergeCell ref="M179:R179"/>
    <mergeCell ref="B180:K180"/>
    <mergeCell ref="M180:R180"/>
    <mergeCell ref="B160:R160"/>
    <mergeCell ref="B161:R161"/>
    <mergeCell ref="B162:R162"/>
    <mergeCell ref="A163:R163"/>
    <mergeCell ref="B164:R164"/>
    <mergeCell ref="B165:R165"/>
    <mergeCell ref="B154:R154"/>
    <mergeCell ref="B155:R155"/>
    <mergeCell ref="B156:R156"/>
    <mergeCell ref="B157:R157"/>
    <mergeCell ref="A158:R158"/>
    <mergeCell ref="B159:R159"/>
    <mergeCell ref="A148:R148"/>
    <mergeCell ref="B149:R149"/>
    <mergeCell ref="B150:R150"/>
    <mergeCell ref="B151:R151"/>
    <mergeCell ref="B152:R152"/>
    <mergeCell ref="A153:R153"/>
    <mergeCell ref="A145:B145"/>
    <mergeCell ref="C145:R145"/>
    <mergeCell ref="A146:B146"/>
    <mergeCell ref="C146:R146"/>
    <mergeCell ref="A147:B147"/>
    <mergeCell ref="C147:R147"/>
    <mergeCell ref="C144:R144"/>
    <mergeCell ref="A142:B142"/>
    <mergeCell ref="A143:B143"/>
    <mergeCell ref="A144:B144"/>
    <mergeCell ref="A141:B141"/>
    <mergeCell ref="B130:R130"/>
    <mergeCell ref="A131:R131"/>
    <mergeCell ref="B132:R132"/>
    <mergeCell ref="B133:R133"/>
    <mergeCell ref="B134:R134"/>
    <mergeCell ref="B135:R135"/>
    <mergeCell ref="C143:R143"/>
    <mergeCell ref="C142:R142"/>
    <mergeCell ref="C141:R141"/>
    <mergeCell ref="B140:R140"/>
    <mergeCell ref="B139:R139"/>
    <mergeCell ref="B138:R138"/>
    <mergeCell ref="A137:R137"/>
    <mergeCell ref="B136:R136"/>
    <mergeCell ref="A115:R115"/>
    <mergeCell ref="B116:R116"/>
    <mergeCell ref="A117:R117"/>
    <mergeCell ref="B118:R118"/>
    <mergeCell ref="B119:R119"/>
    <mergeCell ref="B120:R120"/>
    <mergeCell ref="B109:R109"/>
    <mergeCell ref="B110:R110"/>
    <mergeCell ref="B111:R111"/>
    <mergeCell ref="B112:R112"/>
    <mergeCell ref="B113:R113"/>
    <mergeCell ref="B114:R114"/>
    <mergeCell ref="A104:R104"/>
    <mergeCell ref="B105:R105"/>
    <mergeCell ref="B106:R106"/>
    <mergeCell ref="A107:B107"/>
    <mergeCell ref="C107:R107"/>
    <mergeCell ref="B108:R108"/>
    <mergeCell ref="B98:R98"/>
    <mergeCell ref="B99:R99"/>
    <mergeCell ref="B100:R100"/>
    <mergeCell ref="B101:R101"/>
    <mergeCell ref="B102:R102"/>
    <mergeCell ref="B103:R103"/>
    <mergeCell ref="A92:R92"/>
    <mergeCell ref="B93:R93"/>
    <mergeCell ref="B94:R94"/>
    <mergeCell ref="B95:R95"/>
    <mergeCell ref="B96:R96"/>
    <mergeCell ref="B97:R97"/>
    <mergeCell ref="B87:R87"/>
    <mergeCell ref="B88:R88"/>
    <mergeCell ref="A89:B89"/>
    <mergeCell ref="C89:R89"/>
    <mergeCell ref="B90:R90"/>
    <mergeCell ref="B91:R91"/>
    <mergeCell ref="A84:B84"/>
    <mergeCell ref="C84:R84"/>
    <mergeCell ref="A85:B85"/>
    <mergeCell ref="C85:R85"/>
    <mergeCell ref="A86:B86"/>
    <mergeCell ref="C86:R86"/>
    <mergeCell ref="A80:B80"/>
    <mergeCell ref="C80:R80"/>
    <mergeCell ref="A81:B81"/>
    <mergeCell ref="C81:R81"/>
    <mergeCell ref="B82:R82"/>
    <mergeCell ref="A83:B83"/>
    <mergeCell ref="C83:R83"/>
    <mergeCell ref="A79:B79"/>
    <mergeCell ref="C79:R79"/>
    <mergeCell ref="A72:R72"/>
    <mergeCell ref="A73:R73"/>
    <mergeCell ref="A75:R75"/>
    <mergeCell ref="A76:R76"/>
    <mergeCell ref="A69:F69"/>
    <mergeCell ref="A71:F71"/>
    <mergeCell ref="O71:Q71"/>
    <mergeCell ref="H69:I69"/>
    <mergeCell ref="B78:R78"/>
    <mergeCell ref="B77:R77"/>
    <mergeCell ref="H71:I71"/>
    <mergeCell ref="A70:F70"/>
    <mergeCell ref="J70:K70"/>
    <mergeCell ref="A74:R74"/>
    <mergeCell ref="A64:Q64"/>
    <mergeCell ref="A67:R67"/>
    <mergeCell ref="A68:R68"/>
    <mergeCell ref="A60:L60"/>
    <mergeCell ref="N60:R60"/>
    <mergeCell ref="A65:Q65"/>
    <mergeCell ref="A61:C62"/>
    <mergeCell ref="D61:L62"/>
    <mergeCell ref="M61:O62"/>
    <mergeCell ref="P61:R62"/>
    <mergeCell ref="A66:Q66"/>
    <mergeCell ref="A63:R63"/>
    <mergeCell ref="A55:R55"/>
    <mergeCell ref="A56:R56"/>
    <mergeCell ref="A58:J58"/>
    <mergeCell ref="A59:J59"/>
    <mergeCell ref="A49:R49"/>
    <mergeCell ref="A50:R50"/>
    <mergeCell ref="A52:L52"/>
    <mergeCell ref="N52:R52"/>
    <mergeCell ref="A53:R53"/>
    <mergeCell ref="A54:R54"/>
    <mergeCell ref="A57:R57"/>
    <mergeCell ref="K58:L58"/>
    <mergeCell ref="K59:L59"/>
    <mergeCell ref="M58:R58"/>
    <mergeCell ref="M59:R59"/>
    <mergeCell ref="A51:R51"/>
    <mergeCell ref="A44:R44"/>
    <mergeCell ref="A45:R45"/>
    <mergeCell ref="A46:L46"/>
    <mergeCell ref="N46:R46"/>
    <mergeCell ref="A47:R47"/>
    <mergeCell ref="A48:R48"/>
    <mergeCell ref="A38:R38"/>
    <mergeCell ref="A39:R39"/>
    <mergeCell ref="A40:R40"/>
    <mergeCell ref="A41:R41"/>
    <mergeCell ref="A42:R42"/>
    <mergeCell ref="A43:R43"/>
    <mergeCell ref="A32:R32"/>
    <mergeCell ref="A33:R33"/>
    <mergeCell ref="A34:R34"/>
    <mergeCell ref="A35:R35"/>
    <mergeCell ref="A36:R36"/>
    <mergeCell ref="A37:R37"/>
    <mergeCell ref="U19:AD33"/>
    <mergeCell ref="A21:D21"/>
    <mergeCell ref="E21:R21"/>
    <mergeCell ref="A22:R22"/>
    <mergeCell ref="A23:R23"/>
    <mergeCell ref="A28:R28"/>
    <mergeCell ref="A29:R29"/>
    <mergeCell ref="A30:R30"/>
    <mergeCell ref="A31:R31"/>
    <mergeCell ref="A26:R26"/>
    <mergeCell ref="A27:R27"/>
    <mergeCell ref="A24:R24"/>
    <mergeCell ref="A25:R25"/>
    <mergeCell ref="A13:F13"/>
    <mergeCell ref="G13:R13"/>
    <mergeCell ref="A14:R18"/>
    <mergeCell ref="A9:B9"/>
    <mergeCell ref="C9:M9"/>
    <mergeCell ref="N9:Q9"/>
    <mergeCell ref="C10:M10"/>
    <mergeCell ref="N10:Q10"/>
    <mergeCell ref="A19:D20"/>
    <mergeCell ref="E19:R20"/>
    <mergeCell ref="O2:R2"/>
    <mergeCell ref="O3:R3"/>
    <mergeCell ref="O4:R4"/>
    <mergeCell ref="B7:F7"/>
    <mergeCell ref="I7:K7"/>
    <mergeCell ref="N7:P7"/>
    <mergeCell ref="Q7:R7"/>
    <mergeCell ref="A12:G12"/>
    <mergeCell ref="H12:R12"/>
  </mergeCells>
  <dataValidations count="1">
    <dataValidation type="list" showInputMessage="1" showErrorMessage="1" sqref="A63:R63" xr:uid="{E65D2413-3214-40AB-B4D8-C1E7CD6B1E3C}">
      <formula1>$V$63:$V$64</formula1>
    </dataValidation>
  </dataValidations>
  <printOptions horizontalCentered="1"/>
  <pageMargins left="0.25" right="0.25" top="0.25" bottom="0.25" header="0" footer="0"/>
  <pageSetup scale="90" fitToHeight="0" orientation="portrait" r:id="rId1"/>
  <headerFooter>
    <oddFooter>&amp;R&amp;"Times New Roman,Regular"&amp;10___________
(Buyer Initials)
Last Updated March 12, 2025</oddFooter>
  </headerFooter>
  <rowBreaks count="3" manualBreakCount="3">
    <brk id="60" max="16383" man="1"/>
    <brk id="114" max="16383" man="1"/>
    <brk id="130"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B16AB-9CEA-4A37-B63A-E5B65E27E29B}">
  <sheetPr>
    <tabColor theme="9" tint="0.59999389629810485"/>
  </sheetPr>
  <dimension ref="A1:H40"/>
  <sheetViews>
    <sheetView tabSelected="1" workbookViewId="0">
      <selection activeCell="M15" sqref="M15"/>
    </sheetView>
  </sheetViews>
  <sheetFormatPr defaultColWidth="8.25" defaultRowHeight="20.100000000000001" customHeight="1" x14ac:dyDescent="0.25"/>
  <cols>
    <col min="1" max="1" width="4.875" style="124" customWidth="1"/>
    <col min="2" max="2" width="8.25" style="124" customWidth="1"/>
    <col min="3" max="4" width="6.625" style="124" customWidth="1"/>
    <col min="5" max="5" width="13.125" style="124" customWidth="1"/>
    <col min="6" max="6" width="21.5" style="124" customWidth="1"/>
    <col min="7" max="7" width="13.125" style="124" customWidth="1"/>
    <col min="8" max="8" width="15.25" style="124" customWidth="1"/>
    <col min="9" max="16384" width="8.25" style="124"/>
  </cols>
  <sheetData>
    <row r="1" spans="1:8" ht="20.100000000000001" customHeight="1" x14ac:dyDescent="0.25">
      <c r="A1" s="188"/>
      <c r="B1" s="188"/>
      <c r="C1" s="188"/>
      <c r="D1" s="188"/>
      <c r="E1" s="188"/>
      <c r="F1" s="188"/>
      <c r="G1" s="189" t="s">
        <v>319</v>
      </c>
      <c r="H1" s="188" t="str">
        <f>RECAP!K1</f>
        <v>E26-XXX</v>
      </c>
    </row>
    <row r="2" spans="1:8" ht="20.100000000000001" customHeight="1" x14ac:dyDescent="0.25">
      <c r="A2" s="188"/>
      <c r="B2" s="188"/>
      <c r="C2" s="188"/>
      <c r="D2" s="188"/>
      <c r="E2" s="188"/>
      <c r="F2" s="188"/>
      <c r="G2" s="189" t="s">
        <v>2</v>
      </c>
      <c r="H2" s="190">
        <f ca="1">TODAY()</f>
        <v>46238</v>
      </c>
    </row>
    <row r="3" spans="1:8" ht="20.100000000000001" customHeight="1" x14ac:dyDescent="0.25">
      <c r="A3" s="188"/>
      <c r="B3" s="188"/>
      <c r="C3" s="188"/>
      <c r="D3" s="188"/>
      <c r="E3" s="188"/>
      <c r="F3" s="188"/>
      <c r="G3" s="189" t="s">
        <v>3</v>
      </c>
      <c r="H3" s="188">
        <f>RECAP!K3</f>
        <v>0</v>
      </c>
    </row>
    <row r="4" spans="1:8" ht="20.100000000000001" customHeight="1" thickBot="1" x14ac:dyDescent="0.3">
      <c r="A4" s="188"/>
      <c r="B4" s="188"/>
      <c r="C4" s="188"/>
      <c r="D4" s="188"/>
      <c r="E4" s="188"/>
      <c r="F4" s="188"/>
      <c r="G4" s="189" t="s">
        <v>142</v>
      </c>
      <c r="H4" s="190"/>
    </row>
    <row r="5" spans="1:8" ht="23.45" customHeight="1" thickTop="1" x14ac:dyDescent="0.35">
      <c r="A5" s="600">
        <f>RECAP!C10</f>
        <v>0</v>
      </c>
      <c r="B5" s="601"/>
      <c r="C5" s="601"/>
      <c r="D5" s="601"/>
      <c r="E5" s="601"/>
      <c r="F5" s="601"/>
      <c r="G5" s="601"/>
      <c r="H5" s="602"/>
    </row>
    <row r="6" spans="1:8" ht="20.100000000000001" customHeight="1" thickBot="1" x14ac:dyDescent="0.3">
      <c r="A6" s="603" t="str">
        <f>RECAP!I10</f>
        <v>(City, State)</v>
      </c>
      <c r="B6" s="604"/>
      <c r="C6" s="604"/>
      <c r="D6" s="604"/>
      <c r="E6" s="604"/>
      <c r="F6" s="604"/>
      <c r="G6" s="604"/>
      <c r="H6" s="605"/>
    </row>
    <row r="7" spans="1:8" ht="20.100000000000001" customHeight="1" thickTop="1" x14ac:dyDescent="0.25">
      <c r="A7" s="606" t="s">
        <v>358</v>
      </c>
      <c r="B7" s="607"/>
      <c r="C7" s="607" t="s">
        <v>38</v>
      </c>
      <c r="D7" s="607"/>
      <c r="E7" s="607"/>
      <c r="F7" s="607"/>
      <c r="G7" s="173" t="s">
        <v>37</v>
      </c>
      <c r="H7" s="191" t="s">
        <v>320</v>
      </c>
    </row>
    <row r="8" spans="1:8" ht="20.100000000000001" customHeight="1" x14ac:dyDescent="0.25">
      <c r="A8" s="608" t="s">
        <v>321</v>
      </c>
      <c r="B8" s="609"/>
      <c r="C8" s="610" t="s">
        <v>322</v>
      </c>
      <c r="D8" s="611"/>
      <c r="E8" s="611"/>
      <c r="F8" s="611"/>
      <c r="G8" s="133">
        <f>RECAP!D52</f>
        <v>0</v>
      </c>
      <c r="H8" s="144"/>
    </row>
    <row r="9" spans="1:8" ht="20.100000000000001" customHeight="1" x14ac:dyDescent="0.25">
      <c r="A9" s="597" t="s">
        <v>323</v>
      </c>
      <c r="B9" s="598"/>
      <c r="C9" s="599" t="s">
        <v>18</v>
      </c>
      <c r="D9" s="599"/>
      <c r="E9" s="599"/>
      <c r="F9" s="599"/>
      <c r="G9" s="135">
        <f>RECAP!D25</f>
        <v>0</v>
      </c>
      <c r="H9" s="145">
        <f>RECAP!J25</f>
        <v>0</v>
      </c>
    </row>
    <row r="10" spans="1:8" ht="20.100000000000001" customHeight="1" x14ac:dyDescent="0.25">
      <c r="A10" s="597" t="s">
        <v>324</v>
      </c>
      <c r="B10" s="598"/>
      <c r="C10" s="599" t="s">
        <v>19</v>
      </c>
      <c r="D10" s="599"/>
      <c r="E10" s="599"/>
      <c r="F10" s="599"/>
      <c r="G10" s="135">
        <f>RECAP!D26</f>
        <v>0</v>
      </c>
      <c r="H10" s="145">
        <f>RECAP!J26</f>
        <v>0</v>
      </c>
    </row>
    <row r="11" spans="1:8" ht="20.100000000000001" customHeight="1" x14ac:dyDescent="0.25">
      <c r="A11" s="597" t="s">
        <v>325</v>
      </c>
      <c r="B11" s="615"/>
      <c r="C11" s="599" t="s">
        <v>20</v>
      </c>
      <c r="D11" s="612"/>
      <c r="E11" s="612"/>
      <c r="F11" s="612"/>
      <c r="G11" s="135">
        <f>RECAP!D27</f>
        <v>0</v>
      </c>
      <c r="H11" s="145">
        <f>RECAP!J27</f>
        <v>0</v>
      </c>
    </row>
    <row r="12" spans="1:8" ht="20.100000000000001" customHeight="1" x14ac:dyDescent="0.25">
      <c r="A12" s="597" t="s">
        <v>326</v>
      </c>
      <c r="B12" s="598"/>
      <c r="C12" s="599" t="s">
        <v>41</v>
      </c>
      <c r="D12" s="599"/>
      <c r="E12" s="599"/>
      <c r="F12" s="599"/>
      <c r="G12" s="136">
        <f>RECAP!D28</f>
        <v>0</v>
      </c>
      <c r="H12" s="145"/>
    </row>
    <row r="13" spans="1:8" ht="20.100000000000001" customHeight="1" x14ac:dyDescent="0.25">
      <c r="A13" s="597" t="s">
        <v>351</v>
      </c>
      <c r="B13" s="614"/>
      <c r="C13" s="599" t="s">
        <v>45</v>
      </c>
      <c r="D13" s="599"/>
      <c r="E13" s="599"/>
      <c r="F13" s="599"/>
      <c r="G13" s="136">
        <f>RECAP!D29</f>
        <v>0</v>
      </c>
      <c r="H13" s="145"/>
    </row>
    <row r="14" spans="1:8" ht="20.100000000000001" customHeight="1" x14ac:dyDescent="0.25">
      <c r="A14" s="597" t="s">
        <v>327</v>
      </c>
      <c r="B14" s="598"/>
      <c r="C14" s="137">
        <f>RECAP!D15</f>
        <v>0</v>
      </c>
      <c r="D14" s="138" t="s">
        <v>328</v>
      </c>
      <c r="E14" s="613" t="s">
        <v>42</v>
      </c>
      <c r="F14" s="613"/>
      <c r="G14" s="136">
        <f>RECAP!D30</f>
        <v>0</v>
      </c>
      <c r="H14" s="145">
        <f>RECAP!J30</f>
        <v>0</v>
      </c>
    </row>
    <row r="15" spans="1:8" ht="20.100000000000001" customHeight="1" x14ac:dyDescent="0.25">
      <c r="A15" s="597" t="s">
        <v>329</v>
      </c>
      <c r="B15" s="598"/>
      <c r="C15" s="139">
        <f>Labor!B13-SUM(Labor!B4:B6)</f>
        <v>0</v>
      </c>
      <c r="D15" s="138" t="s">
        <v>328</v>
      </c>
      <c r="E15" s="613" t="s">
        <v>14</v>
      </c>
      <c r="F15" s="613"/>
      <c r="G15" s="136">
        <f>RECAP!D31</f>
        <v>0</v>
      </c>
      <c r="H15" s="145"/>
    </row>
    <row r="16" spans="1:8" ht="20.100000000000001" customHeight="1" x14ac:dyDescent="0.25">
      <c r="A16" s="597" t="s">
        <v>330</v>
      </c>
      <c r="B16" s="598"/>
      <c r="C16" s="599" t="s">
        <v>17</v>
      </c>
      <c r="D16" s="599"/>
      <c r="E16" s="599"/>
      <c r="F16" s="599"/>
      <c r="G16" s="136">
        <f>RECAP!D32</f>
        <v>0</v>
      </c>
      <c r="H16" s="145"/>
    </row>
    <row r="17" spans="1:8" ht="20.100000000000001" customHeight="1" x14ac:dyDescent="0.25">
      <c r="A17" s="597" t="s">
        <v>355</v>
      </c>
      <c r="B17" s="598"/>
      <c r="C17" s="138">
        <f>Labor!B4+Labor!B18</f>
        <v>0</v>
      </c>
      <c r="D17" s="138" t="s">
        <v>328</v>
      </c>
      <c r="E17" s="613" t="s">
        <v>63</v>
      </c>
      <c r="F17" s="613"/>
      <c r="G17" s="136">
        <f>Labor!D4+Labor!D18</f>
        <v>0</v>
      </c>
      <c r="H17" s="145"/>
    </row>
    <row r="18" spans="1:8" ht="20.100000000000001" customHeight="1" x14ac:dyDescent="0.25">
      <c r="A18" s="597" t="s">
        <v>331</v>
      </c>
      <c r="B18" s="598"/>
      <c r="C18" s="599" t="s">
        <v>22</v>
      </c>
      <c r="D18" s="599"/>
      <c r="E18" s="599"/>
      <c r="F18" s="599"/>
      <c r="G18" s="136">
        <f>RECAP!D33</f>
        <v>0</v>
      </c>
      <c r="H18" s="145"/>
    </row>
    <row r="19" spans="1:8" ht="20.100000000000001" customHeight="1" x14ac:dyDescent="0.25">
      <c r="A19" s="597" t="s">
        <v>332</v>
      </c>
      <c r="B19" s="598"/>
      <c r="C19" s="599" t="s">
        <v>333</v>
      </c>
      <c r="D19" s="599"/>
      <c r="E19" s="599"/>
      <c r="F19" s="599"/>
      <c r="G19" s="136">
        <f>RECAP!D34</f>
        <v>0</v>
      </c>
      <c r="H19" s="145">
        <f>RECAP!J34</f>
        <v>0</v>
      </c>
    </row>
    <row r="20" spans="1:8" ht="20.100000000000001" customHeight="1" x14ac:dyDescent="0.25">
      <c r="A20" s="597" t="s">
        <v>334</v>
      </c>
      <c r="B20" s="614"/>
      <c r="C20" s="599" t="s">
        <v>364</v>
      </c>
      <c r="D20" s="599"/>
      <c r="E20" s="599"/>
      <c r="F20" s="599"/>
      <c r="G20" s="136">
        <f>RECAP!D35</f>
        <v>0</v>
      </c>
      <c r="H20" s="145"/>
    </row>
    <row r="21" spans="1:8" ht="20.100000000000001" customHeight="1" x14ac:dyDescent="0.25">
      <c r="A21" s="597" t="s">
        <v>335</v>
      </c>
      <c r="B21" s="598"/>
      <c r="C21" s="138">
        <f>Labor!B5+Labor!B19</f>
        <v>0</v>
      </c>
      <c r="D21" s="138" t="s">
        <v>328</v>
      </c>
      <c r="E21" s="613" t="s">
        <v>356</v>
      </c>
      <c r="F21" s="613"/>
      <c r="G21" s="136">
        <f>RECAP!D36</f>
        <v>0</v>
      </c>
      <c r="H21" s="145"/>
    </row>
    <row r="22" spans="1:8" ht="20.100000000000001" customHeight="1" x14ac:dyDescent="0.25">
      <c r="A22" s="597" t="s">
        <v>336</v>
      </c>
      <c r="B22" s="598"/>
      <c r="C22" s="599" t="s">
        <v>23</v>
      </c>
      <c r="D22" s="599"/>
      <c r="E22" s="599"/>
      <c r="F22" s="599"/>
      <c r="G22" s="136">
        <f>RECAP!D37</f>
        <v>0</v>
      </c>
      <c r="H22" s="145"/>
    </row>
    <row r="23" spans="1:8" ht="20.100000000000001" customHeight="1" x14ac:dyDescent="0.25">
      <c r="A23" s="597" t="s">
        <v>337</v>
      </c>
      <c r="B23" s="598"/>
      <c r="C23" s="599" t="s">
        <v>25</v>
      </c>
      <c r="D23" s="599"/>
      <c r="E23" s="599"/>
      <c r="F23" s="599"/>
      <c r="G23" s="136">
        <f>RECAP!D38</f>
        <v>0</v>
      </c>
      <c r="H23" s="145">
        <f>RECAP!J38</f>
        <v>0</v>
      </c>
    </row>
    <row r="24" spans="1:8" ht="20.100000000000001" customHeight="1" x14ac:dyDescent="0.25">
      <c r="A24" s="597" t="s">
        <v>338</v>
      </c>
      <c r="B24" s="615"/>
      <c r="C24" s="599" t="s">
        <v>26</v>
      </c>
      <c r="D24" s="612"/>
      <c r="E24" s="612"/>
      <c r="F24" s="612"/>
      <c r="G24" s="136">
        <f>RECAP!D39</f>
        <v>0</v>
      </c>
      <c r="H24" s="145">
        <f>RECAP!J39</f>
        <v>0</v>
      </c>
    </row>
    <row r="25" spans="1:8" ht="20.100000000000001" customHeight="1" x14ac:dyDescent="0.25">
      <c r="A25" s="597" t="s">
        <v>357</v>
      </c>
      <c r="B25" s="598"/>
      <c r="C25" s="138">
        <f>Labor!B6+Labor!B20</f>
        <v>0</v>
      </c>
      <c r="D25" s="138" t="s">
        <v>328</v>
      </c>
      <c r="E25" s="613" t="s">
        <v>64</v>
      </c>
      <c r="F25" s="613"/>
      <c r="G25" s="136">
        <f>Labor!D6+Labor!D20</f>
        <v>0</v>
      </c>
      <c r="H25" s="145"/>
    </row>
    <row r="26" spans="1:8" ht="20.100000000000001" customHeight="1" x14ac:dyDescent="0.25">
      <c r="A26" s="597" t="s">
        <v>339</v>
      </c>
      <c r="B26" s="598"/>
      <c r="C26" s="599" t="s">
        <v>43</v>
      </c>
      <c r="D26" s="599"/>
      <c r="E26" s="599"/>
      <c r="F26" s="599"/>
      <c r="G26" s="136">
        <f>RECAP!D40</f>
        <v>0</v>
      </c>
      <c r="H26" s="145"/>
    </row>
    <row r="27" spans="1:8" ht="20.100000000000001" customHeight="1" x14ac:dyDescent="0.25">
      <c r="A27" s="597" t="s">
        <v>340</v>
      </c>
      <c r="B27" s="598"/>
      <c r="C27" s="140">
        <f>Labor!B27-SUM(Labor!B18:B20)</f>
        <v>0</v>
      </c>
      <c r="D27" s="138" t="s">
        <v>328</v>
      </c>
      <c r="E27" s="613" t="s">
        <v>15</v>
      </c>
      <c r="F27" s="613"/>
      <c r="G27" s="136">
        <f>RECAP!D41-Labor!D18-Labor!D19-Labor!D20</f>
        <v>0</v>
      </c>
      <c r="H27" s="145"/>
    </row>
    <row r="28" spans="1:8" ht="20.100000000000001" customHeight="1" x14ac:dyDescent="0.25">
      <c r="A28" s="597" t="s">
        <v>341</v>
      </c>
      <c r="B28" s="598"/>
      <c r="C28" s="599" t="s">
        <v>342</v>
      </c>
      <c r="D28" s="599"/>
      <c r="E28" s="599"/>
      <c r="F28" s="599"/>
      <c r="G28" s="136">
        <f>RECAP!D42</f>
        <v>0</v>
      </c>
      <c r="H28" s="145"/>
    </row>
    <row r="29" spans="1:8" ht="20.100000000000001" customHeight="1" x14ac:dyDescent="0.25">
      <c r="A29" s="597" t="s">
        <v>343</v>
      </c>
      <c r="B29" s="598"/>
      <c r="C29" s="599" t="s">
        <v>40</v>
      </c>
      <c r="D29" s="599"/>
      <c r="E29" s="599"/>
      <c r="F29" s="599"/>
      <c r="G29" s="136">
        <f>RECAP!D43</f>
        <v>0</v>
      </c>
      <c r="H29" s="145">
        <f>RECAP!J43</f>
        <v>0</v>
      </c>
    </row>
    <row r="30" spans="1:8" ht="20.100000000000001" customHeight="1" x14ac:dyDescent="0.25">
      <c r="A30" s="597" t="s">
        <v>344</v>
      </c>
      <c r="B30" s="615"/>
      <c r="C30" s="599" t="s">
        <v>24</v>
      </c>
      <c r="D30" s="612"/>
      <c r="E30" s="612"/>
      <c r="F30" s="612"/>
      <c r="G30" s="136">
        <f>RECAP!D44</f>
        <v>0</v>
      </c>
      <c r="H30" s="145">
        <f>RECAP!J44</f>
        <v>0</v>
      </c>
    </row>
    <row r="31" spans="1:8" ht="20.100000000000001" customHeight="1" x14ac:dyDescent="0.25">
      <c r="A31" s="597" t="s">
        <v>345</v>
      </c>
      <c r="B31" s="615"/>
      <c r="C31" s="599" t="s">
        <v>27</v>
      </c>
      <c r="D31" s="612"/>
      <c r="E31" s="612"/>
      <c r="F31" s="612"/>
      <c r="G31" s="136">
        <f>RECAP!D45</f>
        <v>0</v>
      </c>
      <c r="H31" s="145">
        <f>RECAP!J45</f>
        <v>0</v>
      </c>
    </row>
    <row r="32" spans="1:8" ht="20.100000000000001" customHeight="1" x14ac:dyDescent="0.25">
      <c r="A32" s="597" t="s">
        <v>346</v>
      </c>
      <c r="B32" s="598"/>
      <c r="C32" s="599" t="s">
        <v>352</v>
      </c>
      <c r="D32" s="599"/>
      <c r="E32" s="599"/>
      <c r="F32" s="599"/>
      <c r="G32" s="136">
        <f>RECAP!D46</f>
        <v>0</v>
      </c>
      <c r="H32" s="145"/>
    </row>
    <row r="33" spans="1:8" ht="20.100000000000001" customHeight="1" x14ac:dyDescent="0.25">
      <c r="A33" s="134"/>
      <c r="B33" s="141"/>
      <c r="C33" s="599" t="s">
        <v>28</v>
      </c>
      <c r="D33" s="612"/>
      <c r="E33" s="612"/>
      <c r="F33" s="612"/>
      <c r="G33" s="136">
        <f>RECAP!D47</f>
        <v>0</v>
      </c>
      <c r="H33" s="145"/>
    </row>
    <row r="34" spans="1:8" ht="20.100000000000001" customHeight="1" x14ac:dyDescent="0.25">
      <c r="A34" s="597" t="s">
        <v>347</v>
      </c>
      <c r="B34" s="614"/>
      <c r="C34" s="599" t="s">
        <v>348</v>
      </c>
      <c r="D34" s="616"/>
      <c r="E34" s="616"/>
      <c r="F34" s="616"/>
      <c r="G34" s="136">
        <f>RECAP!D48</f>
        <v>0</v>
      </c>
      <c r="H34" s="145"/>
    </row>
    <row r="35" spans="1:8" ht="20.100000000000001" customHeight="1" thickBot="1" x14ac:dyDescent="0.3">
      <c r="A35" s="623" t="s">
        <v>349</v>
      </c>
      <c r="B35" s="624"/>
      <c r="C35" s="625" t="s">
        <v>30</v>
      </c>
      <c r="D35" s="626"/>
      <c r="E35" s="626"/>
      <c r="F35" s="626"/>
      <c r="G35" s="129">
        <f>RECAP!D51</f>
        <v>0</v>
      </c>
      <c r="H35" s="146"/>
    </row>
    <row r="36" spans="1:8" ht="20.100000000000001" customHeight="1" thickTop="1" x14ac:dyDescent="0.25">
      <c r="A36" s="627" t="s">
        <v>68</v>
      </c>
      <c r="B36" s="628"/>
      <c r="C36" s="628"/>
      <c r="D36" s="628"/>
      <c r="E36" s="628"/>
      <c r="F36" s="628"/>
      <c r="G36" s="142">
        <f>SUM(G8:G35)</f>
        <v>0</v>
      </c>
      <c r="H36" s="143"/>
    </row>
    <row r="37" spans="1:8" ht="20.100000000000001" customHeight="1" thickBot="1" x14ac:dyDescent="0.3">
      <c r="A37" s="619" t="s">
        <v>353</v>
      </c>
      <c r="B37" s="620"/>
      <c r="C37" s="620"/>
      <c r="D37" s="620"/>
      <c r="E37" s="620"/>
      <c r="F37" s="620"/>
      <c r="G37" s="125">
        <f>RECAP!G53-'COST CODES'!G36</f>
        <v>0</v>
      </c>
      <c r="H37" s="130"/>
    </row>
    <row r="38" spans="1:8" ht="20.100000000000001" customHeight="1" thickTop="1" thickBot="1" x14ac:dyDescent="0.3">
      <c r="A38" s="621" t="s">
        <v>350</v>
      </c>
      <c r="B38" s="622"/>
      <c r="C38" s="622"/>
      <c r="D38" s="622"/>
      <c r="E38" s="622"/>
      <c r="F38" s="622"/>
      <c r="G38" s="131">
        <f>SUM(G36:G37)</f>
        <v>0</v>
      </c>
      <c r="H38" s="132"/>
    </row>
    <row r="39" spans="1:8" ht="9" customHeight="1" thickTop="1" x14ac:dyDescent="0.25"/>
    <row r="40" spans="1:8" ht="20.100000000000001" customHeight="1" x14ac:dyDescent="0.25">
      <c r="E40" s="617" t="s">
        <v>354</v>
      </c>
      <c r="F40" s="618"/>
      <c r="G40" s="126">
        <f>RECAP!G53-'COST CODES'!G38</f>
        <v>0</v>
      </c>
    </row>
  </sheetData>
  <mergeCells count="63">
    <mergeCell ref="E40:F40"/>
    <mergeCell ref="A17:B17"/>
    <mergeCell ref="E17:F17"/>
    <mergeCell ref="E21:F21"/>
    <mergeCell ref="A25:B25"/>
    <mergeCell ref="E25:F25"/>
    <mergeCell ref="A37:F37"/>
    <mergeCell ref="A30:B30"/>
    <mergeCell ref="A31:B31"/>
    <mergeCell ref="A24:B24"/>
    <mergeCell ref="A38:F38"/>
    <mergeCell ref="A35:B35"/>
    <mergeCell ref="C35:F35"/>
    <mergeCell ref="A36:F36"/>
    <mergeCell ref="E27:F27"/>
    <mergeCell ref="A28:B28"/>
    <mergeCell ref="A13:B13"/>
    <mergeCell ref="C13:F13"/>
    <mergeCell ref="A11:B11"/>
    <mergeCell ref="C33:F33"/>
    <mergeCell ref="A34:B34"/>
    <mergeCell ref="C34:F34"/>
    <mergeCell ref="A29:B29"/>
    <mergeCell ref="C29:F29"/>
    <mergeCell ref="C30:F30"/>
    <mergeCell ref="C31:F31"/>
    <mergeCell ref="A32:B32"/>
    <mergeCell ref="C32:F32"/>
    <mergeCell ref="C24:F24"/>
    <mergeCell ref="A26:B26"/>
    <mergeCell ref="C26:F26"/>
    <mergeCell ref="A27:B27"/>
    <mergeCell ref="C28:F28"/>
    <mergeCell ref="A21:B21"/>
    <mergeCell ref="A22:B22"/>
    <mergeCell ref="C22:F22"/>
    <mergeCell ref="A23:B23"/>
    <mergeCell ref="C23:F23"/>
    <mergeCell ref="A18:B18"/>
    <mergeCell ref="C18:F18"/>
    <mergeCell ref="A19:B19"/>
    <mergeCell ref="C19:F19"/>
    <mergeCell ref="A20:B20"/>
    <mergeCell ref="C20:F20"/>
    <mergeCell ref="A14:B14"/>
    <mergeCell ref="E14:F14"/>
    <mergeCell ref="A15:B15"/>
    <mergeCell ref="E15:F15"/>
    <mergeCell ref="A16:B16"/>
    <mergeCell ref="C16:F16"/>
    <mergeCell ref="A12:B12"/>
    <mergeCell ref="C12:F12"/>
    <mergeCell ref="A5:H5"/>
    <mergeCell ref="A6:H6"/>
    <mergeCell ref="A7:B7"/>
    <mergeCell ref="C7:F7"/>
    <mergeCell ref="A8:B8"/>
    <mergeCell ref="C8:F8"/>
    <mergeCell ref="A9:B9"/>
    <mergeCell ref="C9:F9"/>
    <mergeCell ref="A10:B10"/>
    <mergeCell ref="C10:F10"/>
    <mergeCell ref="C11:F11"/>
  </mergeCells>
  <printOptions horizontalCentered="1"/>
  <pageMargins left="0.25" right="0.25" top="0.25" bottom="0.25" header="0" footer="0"/>
  <pageSetup scale="98"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B984F-1A3D-48C4-9DBD-63123C445C5E}">
  <dimension ref="A1:F121"/>
  <sheetViews>
    <sheetView workbookViewId="0">
      <selection activeCell="B3" sqref="B3"/>
    </sheetView>
  </sheetViews>
  <sheetFormatPr defaultColWidth="15.875" defaultRowHeight="15.75" x14ac:dyDescent="0.25"/>
  <cols>
    <col min="1" max="2" width="15.875" style="82"/>
    <col min="3" max="3" width="12.625" style="82" customWidth="1"/>
    <col min="4" max="4" width="15.875" style="82"/>
    <col min="5" max="5" width="43.25" style="82" customWidth="1"/>
    <col min="6" max="16384" width="15.875" style="82"/>
  </cols>
  <sheetData>
    <row r="1" spans="1:6" ht="28.5" x14ac:dyDescent="0.25">
      <c r="A1" s="81" t="s">
        <v>9</v>
      </c>
      <c r="B1" s="81" t="s">
        <v>109</v>
      </c>
      <c r="C1" s="81" t="s">
        <v>110</v>
      </c>
      <c r="D1" s="81" t="s">
        <v>111</v>
      </c>
      <c r="E1" s="632" t="s">
        <v>112</v>
      </c>
      <c r="F1" s="631"/>
    </row>
    <row r="2" spans="1:6" x14ac:dyDescent="0.25">
      <c r="A2" s="633">
        <f>RECAP!C10</f>
        <v>0</v>
      </c>
      <c r="B2" s="83" t="str">
        <f>RECAP!K1</f>
        <v>E26-XXX</v>
      </c>
      <c r="C2" s="84"/>
      <c r="D2" s="84"/>
      <c r="E2" s="635"/>
      <c r="F2" s="631"/>
    </row>
    <row r="3" spans="1:6" x14ac:dyDescent="0.25">
      <c r="A3" s="634"/>
      <c r="B3" s="83"/>
      <c r="C3" s="84"/>
      <c r="D3" s="84"/>
      <c r="E3" s="636"/>
      <c r="F3" s="631"/>
    </row>
    <row r="4" spans="1:6" x14ac:dyDescent="0.25">
      <c r="A4" s="634"/>
      <c r="B4" s="83"/>
      <c r="C4" s="84"/>
      <c r="D4" s="84"/>
      <c r="E4" s="636"/>
      <c r="F4" s="631"/>
    </row>
    <row r="5" spans="1:6" x14ac:dyDescent="0.25">
      <c r="A5" s="634"/>
      <c r="B5" s="83"/>
      <c r="C5" s="84"/>
      <c r="D5" s="84"/>
      <c r="E5" s="636"/>
      <c r="F5" s="631"/>
    </row>
    <row r="6" spans="1:6" x14ac:dyDescent="0.25">
      <c r="A6" s="634"/>
      <c r="B6" s="83"/>
      <c r="C6" s="84"/>
      <c r="D6" s="84"/>
      <c r="E6" s="636"/>
      <c r="F6" s="631"/>
    </row>
    <row r="7" spans="1:6" ht="8.4499999999999993" customHeight="1" x14ac:dyDescent="0.25">
      <c r="A7" s="85"/>
      <c r="B7" s="86"/>
      <c r="C7" s="87"/>
      <c r="D7" s="87"/>
      <c r="E7" s="85"/>
      <c r="F7" s="88"/>
    </row>
    <row r="8" spans="1:6" x14ac:dyDescent="0.25">
      <c r="A8" s="81" t="s">
        <v>113</v>
      </c>
      <c r="B8" s="81" t="s">
        <v>114</v>
      </c>
      <c r="C8" s="632" t="s">
        <v>115</v>
      </c>
      <c r="D8" s="637"/>
      <c r="E8" s="637"/>
      <c r="F8" s="631"/>
    </row>
    <row r="9" spans="1:6" x14ac:dyDescent="0.25">
      <c r="A9" s="83"/>
      <c r="B9" s="84"/>
      <c r="C9" s="629"/>
      <c r="D9" s="630"/>
      <c r="E9" s="630"/>
      <c r="F9" s="631"/>
    </row>
    <row r="10" spans="1:6" x14ac:dyDescent="0.25">
      <c r="A10" s="83"/>
      <c r="B10" s="84"/>
      <c r="C10" s="629"/>
      <c r="D10" s="630"/>
      <c r="E10" s="630"/>
      <c r="F10" s="631"/>
    </row>
    <row r="11" spans="1:6" x14ac:dyDescent="0.25">
      <c r="A11" s="83"/>
      <c r="B11" s="84"/>
      <c r="C11" s="629"/>
      <c r="D11" s="630"/>
      <c r="E11" s="630"/>
      <c r="F11" s="631"/>
    </row>
    <row r="12" spans="1:6" x14ac:dyDescent="0.25">
      <c r="A12" s="83"/>
      <c r="B12" s="84"/>
      <c r="C12" s="629"/>
      <c r="D12" s="630"/>
      <c r="E12" s="630"/>
      <c r="F12" s="631"/>
    </row>
    <row r="13" spans="1:6" x14ac:dyDescent="0.25">
      <c r="A13" s="83"/>
      <c r="B13" s="84"/>
      <c r="C13" s="629"/>
      <c r="D13" s="630"/>
      <c r="E13" s="630"/>
      <c r="F13" s="631"/>
    </row>
    <row r="14" spans="1:6" x14ac:dyDescent="0.25">
      <c r="A14" s="83"/>
      <c r="B14" s="84"/>
      <c r="C14" s="629"/>
      <c r="D14" s="630"/>
      <c r="E14" s="630"/>
      <c r="F14" s="631"/>
    </row>
    <row r="15" spans="1:6" ht="8.4499999999999993" customHeight="1" x14ac:dyDescent="0.25">
      <c r="A15" s="85"/>
      <c r="B15" s="86"/>
      <c r="C15" s="87"/>
      <c r="D15" s="87"/>
      <c r="E15" s="85"/>
      <c r="F15" s="88"/>
    </row>
    <row r="16" spans="1:6" x14ac:dyDescent="0.25">
      <c r="A16" s="81" t="s">
        <v>2</v>
      </c>
      <c r="B16" s="632" t="s">
        <v>112</v>
      </c>
      <c r="C16" s="637"/>
      <c r="D16" s="637"/>
      <c r="E16" s="637"/>
      <c r="F16" s="631"/>
    </row>
    <row r="17" spans="1:6" x14ac:dyDescent="0.25">
      <c r="A17" s="84"/>
      <c r="B17" s="629"/>
      <c r="C17" s="630"/>
      <c r="D17" s="630"/>
      <c r="E17" s="630"/>
      <c r="F17" s="631"/>
    </row>
    <row r="18" spans="1:6" x14ac:dyDescent="0.25">
      <c r="A18" s="84"/>
      <c r="B18" s="629"/>
      <c r="C18" s="630"/>
      <c r="D18" s="630"/>
      <c r="E18" s="630"/>
      <c r="F18" s="631"/>
    </row>
    <row r="19" spans="1:6" x14ac:dyDescent="0.25">
      <c r="A19" s="84"/>
      <c r="B19" s="629"/>
      <c r="C19" s="630"/>
      <c r="D19" s="630"/>
      <c r="E19" s="630"/>
      <c r="F19" s="631"/>
    </row>
    <row r="20" spans="1:6" x14ac:dyDescent="0.25">
      <c r="A20" s="84"/>
      <c r="B20" s="629"/>
      <c r="C20" s="630"/>
      <c r="D20" s="630"/>
      <c r="E20" s="630"/>
      <c r="F20" s="631"/>
    </row>
    <row r="21" spans="1:6" x14ac:dyDescent="0.25">
      <c r="A21" s="84"/>
      <c r="B21" s="629"/>
      <c r="C21" s="630"/>
      <c r="D21" s="630"/>
      <c r="E21" s="630"/>
      <c r="F21" s="631"/>
    </row>
    <row r="22" spans="1:6" x14ac:dyDescent="0.25">
      <c r="A22" s="84"/>
      <c r="B22" s="629"/>
      <c r="C22" s="630"/>
      <c r="D22" s="630"/>
      <c r="E22" s="630"/>
      <c r="F22" s="631"/>
    </row>
    <row r="23" spans="1:6" x14ac:dyDescent="0.25">
      <c r="A23" s="84"/>
      <c r="B23" s="629"/>
      <c r="C23" s="630"/>
      <c r="D23" s="630"/>
      <c r="E23" s="630"/>
      <c r="F23" s="631"/>
    </row>
    <row r="24" spans="1:6" x14ac:dyDescent="0.25">
      <c r="A24" s="84"/>
      <c r="B24" s="629"/>
      <c r="C24" s="630"/>
      <c r="D24" s="630"/>
      <c r="E24" s="630"/>
      <c r="F24" s="631"/>
    </row>
    <row r="25" spans="1:6" x14ac:dyDescent="0.25">
      <c r="A25" s="84"/>
      <c r="B25" s="629"/>
      <c r="C25" s="630"/>
      <c r="D25" s="630"/>
      <c r="E25" s="630"/>
      <c r="F25" s="631"/>
    </row>
    <row r="26" spans="1:6" x14ac:dyDescent="0.25">
      <c r="A26" s="84"/>
      <c r="B26" s="629"/>
      <c r="C26" s="630"/>
      <c r="D26" s="630"/>
      <c r="E26" s="630"/>
      <c r="F26" s="631"/>
    </row>
    <row r="27" spans="1:6" x14ac:dyDescent="0.25">
      <c r="A27" s="84"/>
      <c r="B27" s="629"/>
      <c r="C27" s="630"/>
      <c r="D27" s="630"/>
      <c r="E27" s="630"/>
      <c r="F27" s="631"/>
    </row>
    <row r="28" spans="1:6" x14ac:dyDescent="0.25">
      <c r="A28" s="84"/>
      <c r="B28" s="629"/>
      <c r="C28" s="630"/>
      <c r="D28" s="630"/>
      <c r="E28" s="630"/>
      <c r="F28" s="631"/>
    </row>
    <row r="29" spans="1:6" x14ac:dyDescent="0.25">
      <c r="A29" s="84"/>
      <c r="B29" s="629"/>
      <c r="C29" s="630"/>
      <c r="D29" s="630"/>
      <c r="E29" s="630"/>
      <c r="F29" s="631"/>
    </row>
    <row r="30" spans="1:6" x14ac:dyDescent="0.25">
      <c r="A30" s="84"/>
      <c r="B30" s="629"/>
      <c r="C30" s="630"/>
      <c r="D30" s="630"/>
      <c r="E30" s="630"/>
      <c r="F30" s="631"/>
    </row>
    <row r="31" spans="1:6" x14ac:dyDescent="0.25">
      <c r="A31" s="84"/>
      <c r="B31" s="629"/>
      <c r="C31" s="630"/>
      <c r="D31" s="630"/>
      <c r="E31" s="630"/>
      <c r="F31" s="631"/>
    </row>
    <row r="32" spans="1:6" x14ac:dyDescent="0.25">
      <c r="A32" s="84"/>
      <c r="B32" s="629"/>
      <c r="C32" s="630"/>
      <c r="D32" s="630"/>
      <c r="E32" s="630"/>
      <c r="F32" s="631"/>
    </row>
    <row r="33" spans="1:6" x14ac:dyDescent="0.25">
      <c r="A33" s="84"/>
      <c r="B33" s="629"/>
      <c r="C33" s="630"/>
      <c r="D33" s="630"/>
      <c r="E33" s="630"/>
      <c r="F33" s="631"/>
    </row>
    <row r="34" spans="1:6" x14ac:dyDescent="0.25">
      <c r="A34" s="84"/>
      <c r="B34" s="629"/>
      <c r="C34" s="630"/>
      <c r="D34" s="630"/>
      <c r="E34" s="630"/>
      <c r="F34" s="631"/>
    </row>
    <row r="35" spans="1:6" x14ac:dyDescent="0.25">
      <c r="A35" s="84"/>
      <c r="B35" s="629"/>
      <c r="C35" s="630"/>
      <c r="D35" s="630"/>
      <c r="E35" s="630"/>
      <c r="F35" s="631"/>
    </row>
    <row r="36" spans="1:6" x14ac:dyDescent="0.25">
      <c r="A36" s="89"/>
    </row>
    <row r="37" spans="1:6" x14ac:dyDescent="0.25">
      <c r="A37" s="89"/>
    </row>
    <row r="38" spans="1:6" x14ac:dyDescent="0.25">
      <c r="A38" s="89"/>
    </row>
    <row r="39" spans="1:6" x14ac:dyDescent="0.25">
      <c r="A39" s="89"/>
    </row>
    <row r="40" spans="1:6" x14ac:dyDescent="0.25">
      <c r="A40" s="89"/>
    </row>
    <row r="41" spans="1:6" x14ac:dyDescent="0.25">
      <c r="A41" s="89"/>
    </row>
    <row r="42" spans="1:6" x14ac:dyDescent="0.25">
      <c r="A42" s="89"/>
    </row>
    <row r="43" spans="1:6" x14ac:dyDescent="0.25">
      <c r="A43" s="89"/>
    </row>
    <row r="44" spans="1:6" x14ac:dyDescent="0.25">
      <c r="A44" s="89"/>
    </row>
    <row r="45" spans="1:6" x14ac:dyDescent="0.25">
      <c r="A45" s="89"/>
    </row>
    <row r="46" spans="1:6" x14ac:dyDescent="0.25">
      <c r="A46" s="89"/>
    </row>
    <row r="47" spans="1:6" x14ac:dyDescent="0.25">
      <c r="A47" s="89"/>
    </row>
    <row r="48" spans="1:6" x14ac:dyDescent="0.25">
      <c r="A48" s="89"/>
    </row>
    <row r="49" spans="1:1" x14ac:dyDescent="0.25">
      <c r="A49" s="89"/>
    </row>
    <row r="50" spans="1:1" x14ac:dyDescent="0.25">
      <c r="A50" s="89"/>
    </row>
    <row r="51" spans="1:1" x14ac:dyDescent="0.25">
      <c r="A51" s="89"/>
    </row>
    <row r="52" spans="1:1" x14ac:dyDescent="0.25">
      <c r="A52" s="89"/>
    </row>
    <row r="53" spans="1:1" x14ac:dyDescent="0.25">
      <c r="A53" s="89"/>
    </row>
    <row r="54" spans="1:1" x14ac:dyDescent="0.25">
      <c r="A54" s="89"/>
    </row>
    <row r="55" spans="1:1" x14ac:dyDescent="0.25">
      <c r="A55" s="89"/>
    </row>
    <row r="56" spans="1:1" x14ac:dyDescent="0.25">
      <c r="A56" s="89"/>
    </row>
    <row r="57" spans="1:1" x14ac:dyDescent="0.25">
      <c r="A57" s="89"/>
    </row>
    <row r="58" spans="1:1" x14ac:dyDescent="0.25">
      <c r="A58" s="89"/>
    </row>
    <row r="59" spans="1:1" x14ac:dyDescent="0.25">
      <c r="A59" s="89"/>
    </row>
    <row r="60" spans="1:1" x14ac:dyDescent="0.25">
      <c r="A60" s="89"/>
    </row>
    <row r="61" spans="1:1" x14ac:dyDescent="0.25">
      <c r="A61" s="89"/>
    </row>
    <row r="62" spans="1:1" x14ac:dyDescent="0.25">
      <c r="A62" s="89"/>
    </row>
    <row r="63" spans="1:1" x14ac:dyDescent="0.25">
      <c r="A63" s="89"/>
    </row>
    <row r="64" spans="1:1" x14ac:dyDescent="0.25">
      <c r="A64" s="89"/>
    </row>
    <row r="65" spans="1:1" x14ac:dyDescent="0.25">
      <c r="A65" s="89"/>
    </row>
    <row r="66" spans="1:1" x14ac:dyDescent="0.25">
      <c r="A66" s="89"/>
    </row>
    <row r="67" spans="1:1" x14ac:dyDescent="0.25">
      <c r="A67" s="89"/>
    </row>
    <row r="68" spans="1:1" x14ac:dyDescent="0.25">
      <c r="A68" s="89"/>
    </row>
    <row r="69" spans="1:1" x14ac:dyDescent="0.25">
      <c r="A69" s="89"/>
    </row>
    <row r="70" spans="1:1" x14ac:dyDescent="0.25">
      <c r="A70" s="89"/>
    </row>
    <row r="71" spans="1:1" x14ac:dyDescent="0.25">
      <c r="A71" s="89"/>
    </row>
    <row r="72" spans="1:1" x14ac:dyDescent="0.25">
      <c r="A72" s="89"/>
    </row>
    <row r="73" spans="1:1" x14ac:dyDescent="0.25">
      <c r="A73" s="89"/>
    </row>
    <row r="74" spans="1:1" x14ac:dyDescent="0.25">
      <c r="A74" s="89"/>
    </row>
    <row r="75" spans="1:1" x14ac:dyDescent="0.25">
      <c r="A75" s="89"/>
    </row>
    <row r="76" spans="1:1" x14ac:dyDescent="0.25">
      <c r="A76" s="89"/>
    </row>
    <row r="77" spans="1:1" x14ac:dyDescent="0.25">
      <c r="A77" s="89"/>
    </row>
    <row r="78" spans="1:1" x14ac:dyDescent="0.25">
      <c r="A78" s="89"/>
    </row>
    <row r="79" spans="1:1" x14ac:dyDescent="0.25">
      <c r="A79" s="89"/>
    </row>
    <row r="80" spans="1:1" x14ac:dyDescent="0.25">
      <c r="A80" s="89"/>
    </row>
    <row r="81" spans="1:1" x14ac:dyDescent="0.25">
      <c r="A81" s="89"/>
    </row>
    <row r="82" spans="1:1" x14ac:dyDescent="0.25">
      <c r="A82" s="89"/>
    </row>
    <row r="83" spans="1:1" x14ac:dyDescent="0.25">
      <c r="A83" s="89"/>
    </row>
    <row r="84" spans="1:1" x14ac:dyDescent="0.25">
      <c r="A84" s="89"/>
    </row>
    <row r="85" spans="1:1" x14ac:dyDescent="0.25">
      <c r="A85" s="89"/>
    </row>
    <row r="86" spans="1:1" x14ac:dyDescent="0.25">
      <c r="A86" s="89"/>
    </row>
    <row r="87" spans="1:1" x14ac:dyDescent="0.25">
      <c r="A87" s="89"/>
    </row>
    <row r="88" spans="1:1" x14ac:dyDescent="0.25">
      <c r="A88" s="89"/>
    </row>
    <row r="89" spans="1:1" x14ac:dyDescent="0.25">
      <c r="A89" s="89"/>
    </row>
    <row r="90" spans="1:1" x14ac:dyDescent="0.25">
      <c r="A90" s="89"/>
    </row>
    <row r="91" spans="1:1" x14ac:dyDescent="0.25">
      <c r="A91" s="89"/>
    </row>
    <row r="92" spans="1:1" x14ac:dyDescent="0.25">
      <c r="A92" s="89"/>
    </row>
    <row r="93" spans="1:1" x14ac:dyDescent="0.25">
      <c r="A93" s="89"/>
    </row>
    <row r="94" spans="1:1" x14ac:dyDescent="0.25">
      <c r="A94" s="89"/>
    </row>
    <row r="95" spans="1:1" x14ac:dyDescent="0.25">
      <c r="A95" s="89"/>
    </row>
    <row r="96" spans="1:1" x14ac:dyDescent="0.25">
      <c r="A96" s="89"/>
    </row>
    <row r="97" spans="1:1" x14ac:dyDescent="0.25">
      <c r="A97" s="89"/>
    </row>
    <row r="98" spans="1:1" x14ac:dyDescent="0.25">
      <c r="A98" s="89"/>
    </row>
    <row r="99" spans="1:1" x14ac:dyDescent="0.25">
      <c r="A99" s="89"/>
    </row>
    <row r="100" spans="1:1" x14ac:dyDescent="0.25">
      <c r="A100" s="89"/>
    </row>
    <row r="101" spans="1:1" x14ac:dyDescent="0.25">
      <c r="A101" s="89"/>
    </row>
    <row r="102" spans="1:1" x14ac:dyDescent="0.25">
      <c r="A102" s="89"/>
    </row>
    <row r="103" spans="1:1" x14ac:dyDescent="0.25">
      <c r="A103" s="89"/>
    </row>
    <row r="104" spans="1:1" x14ac:dyDescent="0.25">
      <c r="A104" s="89"/>
    </row>
    <row r="105" spans="1:1" x14ac:dyDescent="0.25">
      <c r="A105" s="89"/>
    </row>
    <row r="106" spans="1:1" x14ac:dyDescent="0.25">
      <c r="A106" s="89"/>
    </row>
    <row r="107" spans="1:1" x14ac:dyDescent="0.25">
      <c r="A107" s="89"/>
    </row>
    <row r="108" spans="1:1" x14ac:dyDescent="0.25">
      <c r="A108" s="89"/>
    </row>
    <row r="109" spans="1:1" x14ac:dyDescent="0.25">
      <c r="A109" s="89"/>
    </row>
    <row r="110" spans="1:1" x14ac:dyDescent="0.25">
      <c r="A110" s="89"/>
    </row>
    <row r="111" spans="1:1" x14ac:dyDescent="0.25">
      <c r="A111" s="89"/>
    </row>
    <row r="112" spans="1:1" x14ac:dyDescent="0.25">
      <c r="A112" s="89"/>
    </row>
    <row r="113" spans="1:1" x14ac:dyDescent="0.25">
      <c r="A113" s="89"/>
    </row>
    <row r="114" spans="1:1" x14ac:dyDescent="0.25">
      <c r="A114" s="89"/>
    </row>
    <row r="115" spans="1:1" x14ac:dyDescent="0.25">
      <c r="A115" s="89"/>
    </row>
    <row r="116" spans="1:1" x14ac:dyDescent="0.25">
      <c r="A116" s="89"/>
    </row>
    <row r="117" spans="1:1" x14ac:dyDescent="0.25">
      <c r="A117" s="89"/>
    </row>
    <row r="118" spans="1:1" x14ac:dyDescent="0.25">
      <c r="A118" s="89"/>
    </row>
    <row r="119" spans="1:1" x14ac:dyDescent="0.25">
      <c r="A119" s="89"/>
    </row>
    <row r="120" spans="1:1" x14ac:dyDescent="0.25">
      <c r="A120" s="89"/>
    </row>
    <row r="121" spans="1:1" x14ac:dyDescent="0.25">
      <c r="A121" s="89"/>
    </row>
  </sheetData>
  <mergeCells count="30">
    <mergeCell ref="B35:F35"/>
    <mergeCell ref="B24:F24"/>
    <mergeCell ref="B25:F25"/>
    <mergeCell ref="B26:F26"/>
    <mergeCell ref="B27:F27"/>
    <mergeCell ref="B28:F28"/>
    <mergeCell ref="B29:F29"/>
    <mergeCell ref="B30:F30"/>
    <mergeCell ref="B31:F31"/>
    <mergeCell ref="B32:F32"/>
    <mergeCell ref="B33:F33"/>
    <mergeCell ref="B34:F34"/>
    <mergeCell ref="B23:F23"/>
    <mergeCell ref="C11:F11"/>
    <mergeCell ref="C12:F12"/>
    <mergeCell ref="C13:F13"/>
    <mergeCell ref="C14:F14"/>
    <mergeCell ref="B16:F16"/>
    <mergeCell ref="B17:F17"/>
    <mergeCell ref="B18:F18"/>
    <mergeCell ref="B19:F19"/>
    <mergeCell ref="B20:F20"/>
    <mergeCell ref="B21:F21"/>
    <mergeCell ref="B22:F22"/>
    <mergeCell ref="C10:F10"/>
    <mergeCell ref="E1:F1"/>
    <mergeCell ref="A2:A6"/>
    <mergeCell ref="E2:F6"/>
    <mergeCell ref="C8:F8"/>
    <mergeCell ref="C9:F9"/>
  </mergeCells>
  <printOptions horizontalCentered="1"/>
  <pageMargins left="0.25" right="0.25" top="0.5" bottom="0.5" header="0.3" footer="0.3"/>
  <pageSetup orientation="landscape"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563E1-B86E-4511-85B1-EF61512BD5C2}">
  <sheetPr>
    <tabColor rgb="FF00B050"/>
  </sheetPr>
  <dimension ref="B1:AQ54"/>
  <sheetViews>
    <sheetView workbookViewId="0">
      <selection activeCell="B5" sqref="B5:M6"/>
    </sheetView>
  </sheetViews>
  <sheetFormatPr defaultColWidth="7.75" defaultRowHeight="15.75" x14ac:dyDescent="0.25"/>
  <cols>
    <col min="1" max="1" width="1.25" style="90" customWidth="1"/>
    <col min="2" max="2" width="11.75" style="90" customWidth="1"/>
    <col min="3" max="3" width="7.25" style="90" customWidth="1"/>
    <col min="4" max="4" width="1.5" style="90" customWidth="1"/>
    <col min="5" max="5" width="4.125" style="90" customWidth="1"/>
    <col min="6" max="6" width="7.625" style="90" customWidth="1"/>
    <col min="7" max="8" width="3" style="90" customWidth="1"/>
    <col min="9" max="9" width="4" style="90" customWidth="1"/>
    <col min="10" max="11" width="7.75" style="90"/>
    <col min="12" max="12" width="8.25" style="90" customWidth="1"/>
    <col min="13" max="16384" width="7.75" style="90"/>
  </cols>
  <sheetData>
    <row r="1" spans="2:43" ht="75" customHeight="1" x14ac:dyDescent="0.25">
      <c r="B1" s="312"/>
      <c r="C1" s="312"/>
      <c r="D1" s="312"/>
      <c r="E1" s="312"/>
      <c r="F1" s="312"/>
      <c r="G1" s="312"/>
      <c r="H1" s="312"/>
      <c r="I1" s="312"/>
      <c r="J1" s="312"/>
      <c r="K1" s="312"/>
      <c r="L1" s="312"/>
      <c r="M1" s="312"/>
      <c r="N1" s="312"/>
      <c r="O1" s="312"/>
    </row>
    <row r="2" spans="2:43" s="91" customFormat="1" ht="15" x14ac:dyDescent="0.25">
      <c r="B2" s="313" t="s">
        <v>144</v>
      </c>
      <c r="C2" s="313"/>
      <c r="D2" s="313"/>
      <c r="E2" s="313"/>
      <c r="F2" s="313"/>
      <c r="G2" s="313"/>
      <c r="H2" s="313"/>
      <c r="I2" s="313"/>
      <c r="J2" s="313"/>
      <c r="K2" s="313"/>
      <c r="L2" s="313"/>
      <c r="M2" s="313"/>
      <c r="N2" s="313"/>
      <c r="O2" s="313"/>
    </row>
    <row r="3" spans="2:43" s="91" customFormat="1" thickBot="1" x14ac:dyDescent="0.3">
      <c r="B3" s="91" t="s">
        <v>143</v>
      </c>
      <c r="C3" s="314">
        <f>RECAP!C10</f>
        <v>0</v>
      </c>
      <c r="D3" s="315"/>
      <c r="E3" s="315"/>
      <c r="F3" s="315"/>
      <c r="G3" s="315"/>
      <c r="H3" s="315"/>
      <c r="I3" s="315"/>
      <c r="J3" s="315"/>
      <c r="K3" s="315"/>
      <c r="L3" s="91" t="s">
        <v>142</v>
      </c>
      <c r="M3" s="96" t="s">
        <v>145</v>
      </c>
    </row>
    <row r="4" spans="2:43" s="91" customFormat="1" ht="16.5" thickBot="1" x14ac:dyDescent="0.3">
      <c r="B4" s="91" t="s">
        <v>3</v>
      </c>
      <c r="C4" s="323">
        <f>RECAP!K3</f>
        <v>0</v>
      </c>
      <c r="D4" s="324"/>
      <c r="E4" s="324"/>
      <c r="F4" s="324"/>
      <c r="J4" s="277" t="s">
        <v>422</v>
      </c>
      <c r="K4" s="638">
        <f>RECAP!D11</f>
        <v>0</v>
      </c>
      <c r="L4" s="91" t="s">
        <v>423</v>
      </c>
      <c r="M4" s="96" t="s">
        <v>424</v>
      </c>
    </row>
    <row r="5" spans="2:43" s="91" customFormat="1" ht="15" x14ac:dyDescent="0.25">
      <c r="B5" s="316" t="s">
        <v>141</v>
      </c>
      <c r="C5" s="317"/>
      <c r="D5" s="317"/>
      <c r="E5" s="317"/>
      <c r="F5" s="317"/>
      <c r="G5" s="317"/>
      <c r="H5" s="317"/>
      <c r="I5" s="317"/>
      <c r="J5" s="318"/>
      <c r="K5" s="318"/>
      <c r="L5" s="317"/>
      <c r="M5" s="317"/>
      <c r="N5" s="321" t="s">
        <v>140</v>
      </c>
      <c r="O5" s="322"/>
    </row>
    <row r="6" spans="2:43" s="93" customFormat="1" ht="15" thickBot="1" x14ac:dyDescent="0.25">
      <c r="B6" s="319"/>
      <c r="C6" s="320"/>
      <c r="D6" s="320"/>
      <c r="E6" s="320"/>
      <c r="F6" s="320"/>
      <c r="G6" s="320"/>
      <c r="H6" s="320"/>
      <c r="I6" s="320"/>
      <c r="J6" s="320"/>
      <c r="K6" s="320"/>
      <c r="L6" s="320"/>
      <c r="M6" s="320"/>
      <c r="N6" s="95" t="s">
        <v>139</v>
      </c>
      <c r="O6" s="94" t="s">
        <v>138</v>
      </c>
    </row>
    <row r="7" spans="2:43" s="91" customFormat="1" ht="15" customHeight="1" x14ac:dyDescent="0.25">
      <c r="B7" s="281" t="s">
        <v>137</v>
      </c>
      <c r="C7" s="282"/>
      <c r="D7" s="282"/>
      <c r="E7" s="282"/>
      <c r="F7" s="282"/>
      <c r="G7" s="282"/>
      <c r="H7" s="282"/>
      <c r="I7" s="282"/>
      <c r="J7" s="282"/>
      <c r="K7" s="282"/>
      <c r="L7" s="282"/>
      <c r="M7" s="283"/>
      <c r="N7" s="92"/>
      <c r="O7" s="92"/>
    </row>
    <row r="8" spans="2:43" s="91" customFormat="1" ht="15" customHeight="1" thickBot="1" x14ac:dyDescent="0.3">
      <c r="B8" s="298" t="s">
        <v>136</v>
      </c>
      <c r="C8" s="282"/>
      <c r="D8" s="282"/>
      <c r="E8" s="282"/>
      <c r="F8" s="282"/>
      <c r="G8" s="282"/>
      <c r="H8" s="282"/>
      <c r="I8" s="282"/>
      <c r="J8" s="282"/>
      <c r="K8" s="282"/>
      <c r="L8" s="282"/>
      <c r="M8" s="283"/>
      <c r="N8" s="92"/>
      <c r="O8" s="92"/>
    </row>
    <row r="9" spans="2:43" s="91" customFormat="1" ht="32.450000000000003" customHeight="1" thickBot="1" x14ac:dyDescent="0.3">
      <c r="B9" s="309" t="s">
        <v>135</v>
      </c>
      <c r="C9" s="310"/>
      <c r="D9" s="310"/>
      <c r="E9" s="310"/>
      <c r="F9" s="310"/>
      <c r="G9" s="310"/>
      <c r="H9" s="310"/>
      <c r="I9" s="310"/>
      <c r="J9" s="310"/>
      <c r="K9" s="310"/>
      <c r="L9" s="310"/>
      <c r="M9" s="311"/>
      <c r="N9" s="92"/>
      <c r="O9" s="92"/>
      <c r="T9" s="276"/>
      <c r="AQ9" s="91" t="s">
        <v>430</v>
      </c>
    </row>
    <row r="10" spans="2:43" s="91" customFormat="1" ht="15" customHeight="1" x14ac:dyDescent="0.25">
      <c r="B10" s="309" t="s">
        <v>134</v>
      </c>
      <c r="C10" s="310"/>
      <c r="D10" s="310"/>
      <c r="E10" s="310"/>
      <c r="F10" s="310"/>
      <c r="G10" s="310"/>
      <c r="H10" s="310"/>
      <c r="I10" s="310"/>
      <c r="J10" s="310"/>
      <c r="K10" s="310"/>
      <c r="L10" s="310"/>
      <c r="M10" s="311"/>
      <c r="N10" s="92"/>
      <c r="O10" s="92"/>
      <c r="AQ10" s="91" t="s">
        <v>431</v>
      </c>
    </row>
    <row r="11" spans="2:43" s="91" customFormat="1" ht="15" customHeight="1" x14ac:dyDescent="0.25">
      <c r="B11" s="309" t="s">
        <v>133</v>
      </c>
      <c r="C11" s="310"/>
      <c r="D11" s="310"/>
      <c r="E11" s="310"/>
      <c r="F11" s="310"/>
      <c r="G11" s="310"/>
      <c r="H11" s="310"/>
      <c r="I11" s="310"/>
      <c r="J11" s="310"/>
      <c r="K11" s="310"/>
      <c r="L11" s="310"/>
      <c r="M11" s="311"/>
      <c r="N11" s="92"/>
      <c r="O11" s="92"/>
    </row>
    <row r="12" spans="2:43" s="91" customFormat="1" ht="15" customHeight="1" x14ac:dyDescent="0.25">
      <c r="B12" s="298" t="s">
        <v>132</v>
      </c>
      <c r="C12" s="282"/>
      <c r="D12" s="282"/>
      <c r="E12" s="282"/>
      <c r="F12" s="282"/>
      <c r="G12" s="282"/>
      <c r="H12" s="282"/>
      <c r="I12" s="282"/>
      <c r="J12" s="282"/>
      <c r="K12" s="282"/>
      <c r="L12" s="282"/>
      <c r="M12" s="283"/>
      <c r="N12" s="92"/>
      <c r="O12" s="92"/>
    </row>
    <row r="13" spans="2:43" s="91" customFormat="1" ht="15" x14ac:dyDescent="0.25">
      <c r="B13" s="299" t="s">
        <v>425</v>
      </c>
      <c r="C13" s="300"/>
      <c r="D13" s="300"/>
      <c r="E13" s="300"/>
      <c r="F13" s="300"/>
      <c r="G13" s="305" t="s">
        <v>131</v>
      </c>
      <c r="H13" s="305"/>
      <c r="I13" s="305"/>
      <c r="J13" s="305"/>
      <c r="K13" s="305"/>
      <c r="L13" s="305" t="s">
        <v>130</v>
      </c>
      <c r="M13" s="305"/>
      <c r="N13" s="293"/>
      <c r="O13" s="293"/>
    </row>
    <row r="14" spans="2:43" s="91" customFormat="1" ht="15" x14ac:dyDescent="0.25">
      <c r="B14" s="301"/>
      <c r="C14" s="302"/>
      <c r="D14" s="302"/>
      <c r="E14" s="302"/>
      <c r="F14" s="302"/>
      <c r="G14" s="297"/>
      <c r="H14" s="297"/>
      <c r="I14" s="297"/>
      <c r="J14" s="297"/>
      <c r="K14" s="297"/>
      <c r="L14" s="297"/>
      <c r="M14" s="297"/>
      <c r="N14" s="293"/>
      <c r="O14" s="293"/>
    </row>
    <row r="15" spans="2:43" s="91" customFormat="1" ht="15" x14ac:dyDescent="0.25">
      <c r="B15" s="301"/>
      <c r="C15" s="302"/>
      <c r="D15" s="302"/>
      <c r="E15" s="302"/>
      <c r="F15" s="302"/>
      <c r="G15" s="306"/>
      <c r="H15" s="308"/>
      <c r="I15" s="308"/>
      <c r="J15" s="308"/>
      <c r="K15" s="307"/>
      <c r="L15" s="306"/>
      <c r="M15" s="307"/>
      <c r="N15" s="293"/>
      <c r="O15" s="293"/>
    </row>
    <row r="16" spans="2:43" s="91" customFormat="1" ht="15" x14ac:dyDescent="0.25">
      <c r="B16" s="303"/>
      <c r="C16" s="304"/>
      <c r="D16" s="304"/>
      <c r="E16" s="304"/>
      <c r="F16" s="304"/>
      <c r="G16" s="297"/>
      <c r="H16" s="297"/>
      <c r="I16" s="297"/>
      <c r="J16" s="297"/>
      <c r="K16" s="297"/>
      <c r="L16" s="297"/>
      <c r="M16" s="297"/>
      <c r="N16" s="293"/>
      <c r="O16" s="293"/>
    </row>
    <row r="17" spans="2:15" s="91" customFormat="1" ht="15" x14ac:dyDescent="0.25">
      <c r="B17" s="286" t="s">
        <v>129</v>
      </c>
      <c r="C17" s="287"/>
      <c r="D17" s="287"/>
      <c r="E17" s="287"/>
      <c r="F17" s="287"/>
      <c r="G17" s="287"/>
      <c r="H17" s="287"/>
      <c r="I17" s="287"/>
      <c r="J17" s="287"/>
      <c r="K17" s="287"/>
      <c r="L17" s="287"/>
      <c r="M17" s="288"/>
      <c r="N17" s="293"/>
      <c r="O17" s="293"/>
    </row>
    <row r="18" spans="2:15" s="91" customFormat="1" ht="15" x14ac:dyDescent="0.25">
      <c r="B18" s="294"/>
      <c r="C18" s="295"/>
      <c r="D18" s="295"/>
      <c r="E18" s="295"/>
      <c r="F18" s="295"/>
      <c r="G18" s="295"/>
      <c r="H18" s="295"/>
      <c r="I18" s="295"/>
      <c r="J18" s="295"/>
      <c r="K18" s="295"/>
      <c r="L18" s="295"/>
      <c r="M18" s="296"/>
      <c r="N18" s="293"/>
      <c r="O18" s="293"/>
    </row>
    <row r="19" spans="2:15" s="91" customFormat="1" ht="15" x14ac:dyDescent="0.25">
      <c r="B19" s="289"/>
      <c r="C19" s="290"/>
      <c r="D19" s="290"/>
      <c r="E19" s="290"/>
      <c r="F19" s="290"/>
      <c r="G19" s="290"/>
      <c r="H19" s="290"/>
      <c r="I19" s="290"/>
      <c r="J19" s="290"/>
      <c r="K19" s="290"/>
      <c r="L19" s="290"/>
      <c r="M19" s="291"/>
      <c r="N19" s="293"/>
      <c r="O19" s="293"/>
    </row>
    <row r="20" spans="2:15" s="91" customFormat="1" ht="15" x14ac:dyDescent="0.25">
      <c r="B20" s="286" t="s">
        <v>128</v>
      </c>
      <c r="C20" s="287"/>
      <c r="D20" s="287"/>
      <c r="E20" s="287"/>
      <c r="F20" s="287"/>
      <c r="G20" s="287"/>
      <c r="H20" s="287"/>
      <c r="I20" s="287"/>
      <c r="J20" s="287"/>
      <c r="K20" s="287"/>
      <c r="L20" s="287"/>
      <c r="M20" s="288"/>
      <c r="N20" s="278"/>
      <c r="O20" s="278"/>
    </row>
    <row r="21" spans="2:15" s="91" customFormat="1" ht="15" x14ac:dyDescent="0.25">
      <c r="B21" s="289" t="str">
        <f>[2]RECAP!F30</f>
        <v>-</v>
      </c>
      <c r="C21" s="290"/>
      <c r="D21" s="290"/>
      <c r="E21" s="290"/>
      <c r="F21" s="290"/>
      <c r="G21" s="290"/>
      <c r="H21" s="290"/>
      <c r="I21" s="290"/>
      <c r="J21" s="290"/>
      <c r="K21" s="290"/>
      <c r="L21" s="290"/>
      <c r="M21" s="291"/>
      <c r="N21" s="279"/>
      <c r="O21" s="279"/>
    </row>
    <row r="22" spans="2:15" s="91" customFormat="1" ht="15" x14ac:dyDescent="0.25">
      <c r="B22" s="335" t="s">
        <v>18</v>
      </c>
      <c r="C22" s="339"/>
      <c r="D22" s="339"/>
      <c r="E22" s="339"/>
      <c r="F22" s="339"/>
      <c r="G22" s="339"/>
      <c r="H22" s="339"/>
      <c r="I22" s="340" t="s">
        <v>432</v>
      </c>
      <c r="J22" s="341"/>
      <c r="K22" s="335"/>
      <c r="L22" s="335"/>
      <c r="M22" s="335"/>
      <c r="N22" s="280"/>
      <c r="O22" s="278"/>
    </row>
    <row r="23" spans="2:15" s="91" customFormat="1" ht="15" x14ac:dyDescent="0.25">
      <c r="B23" s="339"/>
      <c r="C23" s="339"/>
      <c r="D23" s="339"/>
      <c r="E23" s="339"/>
      <c r="F23" s="339"/>
      <c r="G23" s="339"/>
      <c r="H23" s="339"/>
      <c r="I23" s="341"/>
      <c r="J23" s="341"/>
      <c r="K23" s="335"/>
      <c r="L23" s="335"/>
      <c r="M23" s="335"/>
      <c r="N23" s="280"/>
      <c r="O23" s="279"/>
    </row>
    <row r="24" spans="2:15" s="91" customFormat="1" ht="15" x14ac:dyDescent="0.25">
      <c r="B24" s="286" t="s">
        <v>127</v>
      </c>
      <c r="C24" s="287"/>
      <c r="D24" s="287"/>
      <c r="E24" s="287"/>
      <c r="F24" s="287"/>
      <c r="G24" s="287"/>
      <c r="H24" s="287"/>
      <c r="I24" s="287"/>
      <c r="J24" s="287"/>
      <c r="K24" s="287"/>
      <c r="L24" s="287"/>
      <c r="M24" s="288"/>
      <c r="N24" s="278"/>
      <c r="O24" s="278"/>
    </row>
    <row r="25" spans="2:15" s="91" customFormat="1" ht="15" x14ac:dyDescent="0.25">
      <c r="B25" s="292" t="str">
        <f>[2]RECAP!F31</f>
        <v>-</v>
      </c>
      <c r="C25" s="290"/>
      <c r="D25" s="290"/>
      <c r="E25" s="290"/>
      <c r="F25" s="290"/>
      <c r="G25" s="290"/>
      <c r="H25" s="290"/>
      <c r="I25" s="290"/>
      <c r="J25" s="290"/>
      <c r="K25" s="290"/>
      <c r="L25" s="290"/>
      <c r="M25" s="291"/>
      <c r="N25" s="279"/>
      <c r="O25" s="279"/>
    </row>
    <row r="26" spans="2:15" s="91" customFormat="1" ht="15" x14ac:dyDescent="0.25">
      <c r="B26" s="286" t="s">
        <v>126</v>
      </c>
      <c r="C26" s="287"/>
      <c r="D26" s="287"/>
      <c r="E26" s="287"/>
      <c r="F26" s="287"/>
      <c r="G26" s="287"/>
      <c r="H26" s="287"/>
      <c r="I26" s="287"/>
      <c r="J26" s="287"/>
      <c r="K26" s="287"/>
      <c r="L26" s="287"/>
      <c r="M26" s="288"/>
      <c r="N26" s="278"/>
      <c r="O26" s="278"/>
    </row>
    <row r="27" spans="2:15" s="91" customFormat="1" ht="15" x14ac:dyDescent="0.25">
      <c r="B27" s="289"/>
      <c r="C27" s="290"/>
      <c r="D27" s="290"/>
      <c r="E27" s="290"/>
      <c r="F27" s="290"/>
      <c r="G27" s="290"/>
      <c r="H27" s="290"/>
      <c r="I27" s="290"/>
      <c r="J27" s="290"/>
      <c r="K27" s="290"/>
      <c r="L27" s="290"/>
      <c r="M27" s="291"/>
      <c r="N27" s="279"/>
      <c r="O27" s="279"/>
    </row>
    <row r="28" spans="2:15" s="91" customFormat="1" ht="15" x14ac:dyDescent="0.25">
      <c r="B28" s="286" t="s">
        <v>125</v>
      </c>
      <c r="C28" s="287"/>
      <c r="D28" s="287"/>
      <c r="E28" s="287"/>
      <c r="F28" s="287"/>
      <c r="G28" s="287"/>
      <c r="H28" s="287"/>
      <c r="I28" s="287"/>
      <c r="J28" s="287"/>
      <c r="K28" s="287"/>
      <c r="L28" s="287"/>
      <c r="M28" s="288"/>
      <c r="N28" s="278"/>
      <c r="O28" s="278"/>
    </row>
    <row r="29" spans="2:15" s="91" customFormat="1" ht="15" x14ac:dyDescent="0.25">
      <c r="B29" s="289"/>
      <c r="C29" s="290"/>
      <c r="D29" s="290"/>
      <c r="E29" s="290"/>
      <c r="F29" s="290"/>
      <c r="G29" s="290"/>
      <c r="H29" s="290"/>
      <c r="I29" s="290"/>
      <c r="J29" s="290"/>
      <c r="K29" s="290"/>
      <c r="L29" s="290"/>
      <c r="M29" s="291"/>
      <c r="N29" s="279"/>
      <c r="O29" s="279"/>
    </row>
    <row r="30" spans="2:15" s="91" customFormat="1" ht="15" x14ac:dyDescent="0.25">
      <c r="B30" s="286" t="s">
        <v>124</v>
      </c>
      <c r="C30" s="287"/>
      <c r="D30" s="287"/>
      <c r="E30" s="287"/>
      <c r="F30" s="287"/>
      <c r="G30" s="287"/>
      <c r="H30" s="287"/>
      <c r="I30" s="287"/>
      <c r="J30" s="287"/>
      <c r="K30" s="287"/>
      <c r="L30" s="287"/>
      <c r="M30" s="288"/>
      <c r="N30" s="278"/>
      <c r="O30" s="278"/>
    </row>
    <row r="31" spans="2:15" s="91" customFormat="1" ht="15" x14ac:dyDescent="0.25">
      <c r="B31" s="289" t="str">
        <f>[2]MATERIALS!B5</f>
        <v>(any Fire proofing type Y or N)</v>
      </c>
      <c r="C31" s="290"/>
      <c r="D31" s="290"/>
      <c r="E31" s="290"/>
      <c r="F31" s="290"/>
      <c r="G31" s="290"/>
      <c r="H31" s="290"/>
      <c r="I31" s="290"/>
      <c r="J31" s="290"/>
      <c r="K31" s="290"/>
      <c r="L31" s="290"/>
      <c r="M31" s="291"/>
      <c r="N31" s="279"/>
      <c r="O31" s="279"/>
    </row>
    <row r="32" spans="2:15" s="91" customFormat="1" ht="15" x14ac:dyDescent="0.25">
      <c r="B32" s="286" t="s">
        <v>123</v>
      </c>
      <c r="C32" s="287"/>
      <c r="D32" s="287"/>
      <c r="E32" s="287"/>
      <c r="F32" s="287"/>
      <c r="G32" s="287"/>
      <c r="H32" s="287"/>
      <c r="I32" s="287"/>
      <c r="J32" s="287"/>
      <c r="K32" s="287"/>
      <c r="L32" s="287"/>
      <c r="M32" s="288"/>
      <c r="N32" s="278"/>
      <c r="O32" s="278"/>
    </row>
    <row r="33" spans="2:15" s="91" customFormat="1" ht="15" x14ac:dyDescent="0.25">
      <c r="B33" s="289"/>
      <c r="C33" s="290"/>
      <c r="D33" s="290"/>
      <c r="E33" s="290"/>
      <c r="F33" s="290"/>
      <c r="G33" s="290"/>
      <c r="H33" s="290"/>
      <c r="I33" s="290"/>
      <c r="J33" s="290"/>
      <c r="K33" s="290"/>
      <c r="L33" s="290"/>
      <c r="M33" s="291"/>
      <c r="N33" s="279"/>
      <c r="O33" s="279"/>
    </row>
    <row r="34" spans="2:15" s="91" customFormat="1" ht="15" x14ac:dyDescent="0.25">
      <c r="B34" s="299" t="s">
        <v>17</v>
      </c>
      <c r="C34" s="330"/>
      <c r="D34" s="330"/>
      <c r="E34" s="330"/>
      <c r="F34" s="330"/>
      <c r="G34" s="330"/>
      <c r="H34" s="331"/>
      <c r="I34" s="326" t="s">
        <v>186</v>
      </c>
      <c r="J34" s="327"/>
      <c r="K34" s="293"/>
      <c r="L34" s="293"/>
      <c r="M34" s="293"/>
      <c r="N34" s="278"/>
      <c r="O34" s="278"/>
    </row>
    <row r="35" spans="2:15" s="91" customFormat="1" ht="15" x14ac:dyDescent="0.25">
      <c r="B35" s="332"/>
      <c r="C35" s="333"/>
      <c r="D35" s="333"/>
      <c r="E35" s="333"/>
      <c r="F35" s="333"/>
      <c r="G35" s="333"/>
      <c r="H35" s="334"/>
      <c r="I35" s="328"/>
      <c r="J35" s="329"/>
      <c r="K35" s="293"/>
      <c r="L35" s="293"/>
      <c r="M35" s="293"/>
      <c r="N35" s="279"/>
      <c r="O35" s="279"/>
    </row>
    <row r="36" spans="2:15" s="91" customFormat="1" ht="15" x14ac:dyDescent="0.25">
      <c r="B36" s="336" t="s">
        <v>427</v>
      </c>
      <c r="C36" s="300"/>
      <c r="D36" s="300"/>
      <c r="E36" s="300"/>
      <c r="F36" s="300"/>
      <c r="G36" s="300"/>
      <c r="H36" s="300"/>
      <c r="I36" s="300"/>
      <c r="J36" s="300"/>
      <c r="K36" s="300"/>
      <c r="L36" s="300"/>
      <c r="M36" s="337"/>
      <c r="N36" s="278"/>
      <c r="O36" s="278"/>
    </row>
    <row r="37" spans="2:15" s="93" customFormat="1" ht="14.25" x14ac:dyDescent="0.2">
      <c r="B37" s="303"/>
      <c r="C37" s="304"/>
      <c r="D37" s="304"/>
      <c r="E37" s="304"/>
      <c r="F37" s="304"/>
      <c r="G37" s="304"/>
      <c r="H37" s="304"/>
      <c r="I37" s="304"/>
      <c r="J37" s="304"/>
      <c r="K37" s="304"/>
      <c r="L37" s="304"/>
      <c r="M37" s="338"/>
      <c r="N37" s="279"/>
      <c r="O37" s="279"/>
    </row>
    <row r="38" spans="2:15" s="91" customFormat="1" ht="15" x14ac:dyDescent="0.25">
      <c r="B38" s="335" t="s">
        <v>428</v>
      </c>
      <c r="C38" s="335"/>
      <c r="D38" s="293"/>
      <c r="E38" s="293"/>
      <c r="F38" s="293"/>
      <c r="G38" s="293"/>
      <c r="H38" s="293" t="s">
        <v>429</v>
      </c>
      <c r="I38" s="293"/>
      <c r="J38" s="293"/>
      <c r="K38" s="335"/>
      <c r="L38" s="335"/>
      <c r="M38" s="335"/>
      <c r="N38" s="280"/>
      <c r="O38" s="280"/>
    </row>
    <row r="39" spans="2:15" s="91" customFormat="1" ht="15" x14ac:dyDescent="0.25">
      <c r="B39" s="335"/>
      <c r="C39" s="335"/>
      <c r="D39" s="293"/>
      <c r="E39" s="293"/>
      <c r="F39" s="293"/>
      <c r="G39" s="293"/>
      <c r="H39" s="293"/>
      <c r="I39" s="293"/>
      <c r="J39" s="293"/>
      <c r="K39" s="335"/>
      <c r="L39" s="335"/>
      <c r="M39" s="335"/>
      <c r="N39" s="280"/>
      <c r="O39" s="280"/>
    </row>
    <row r="40" spans="2:15" s="91" customFormat="1" ht="15" x14ac:dyDescent="0.25">
      <c r="B40" s="335" t="s">
        <v>55</v>
      </c>
      <c r="C40" s="335"/>
      <c r="D40" s="335"/>
      <c r="E40" s="335"/>
      <c r="F40" s="335"/>
      <c r="G40" s="335"/>
      <c r="H40" s="335"/>
      <c r="I40" s="335"/>
      <c r="J40" s="335"/>
      <c r="K40" s="335"/>
      <c r="L40" s="335"/>
      <c r="M40" s="335"/>
      <c r="N40" s="280"/>
      <c r="O40" s="280"/>
    </row>
    <row r="41" spans="2:15" s="91" customFormat="1" ht="15" x14ac:dyDescent="0.25">
      <c r="B41" s="335"/>
      <c r="C41" s="335"/>
      <c r="D41" s="335"/>
      <c r="E41" s="335"/>
      <c r="F41" s="335"/>
      <c r="G41" s="335"/>
      <c r="H41" s="335"/>
      <c r="I41" s="335"/>
      <c r="J41" s="335"/>
      <c r="K41" s="335"/>
      <c r="L41" s="335"/>
      <c r="M41" s="335"/>
      <c r="N41" s="280"/>
      <c r="O41" s="280"/>
    </row>
    <row r="42" spans="2:15" s="91" customFormat="1" ht="15" x14ac:dyDescent="0.25">
      <c r="B42" s="335" t="s">
        <v>433</v>
      </c>
      <c r="C42" s="335"/>
      <c r="D42" s="335"/>
      <c r="E42" s="335"/>
      <c r="F42" s="335"/>
      <c r="G42" s="335"/>
      <c r="H42" s="335"/>
      <c r="I42" s="335"/>
      <c r="J42" s="335"/>
      <c r="K42" s="335"/>
      <c r="L42" s="335"/>
      <c r="M42" s="335"/>
      <c r="N42" s="280"/>
      <c r="O42" s="280"/>
    </row>
    <row r="43" spans="2:15" s="91" customFormat="1" ht="15" x14ac:dyDescent="0.25">
      <c r="B43" s="335"/>
      <c r="C43" s="335"/>
      <c r="D43" s="335"/>
      <c r="E43" s="335"/>
      <c r="F43" s="335"/>
      <c r="G43" s="335"/>
      <c r="H43" s="335"/>
      <c r="I43" s="335"/>
      <c r="J43" s="335"/>
      <c r="K43" s="335"/>
      <c r="L43" s="335"/>
      <c r="M43" s="335"/>
      <c r="N43" s="280"/>
      <c r="O43" s="280"/>
    </row>
    <row r="44" spans="2:15" s="91" customFormat="1" ht="15" x14ac:dyDescent="0.25">
      <c r="B44" s="335" t="s">
        <v>434</v>
      </c>
      <c r="C44" s="335"/>
      <c r="D44" s="335"/>
      <c r="E44" s="335"/>
      <c r="F44" s="335"/>
      <c r="G44" s="335"/>
      <c r="H44" s="335"/>
      <c r="I44" s="335"/>
      <c r="J44" s="335"/>
      <c r="K44" s="335"/>
      <c r="L44" s="335"/>
      <c r="M44" s="335"/>
      <c r="N44" s="280"/>
      <c r="O44" s="280"/>
    </row>
    <row r="45" spans="2:15" s="91" customFormat="1" ht="15.6" customHeight="1" x14ac:dyDescent="0.25">
      <c r="B45" s="335"/>
      <c r="C45" s="335"/>
      <c r="D45" s="335"/>
      <c r="E45" s="335"/>
      <c r="F45" s="335"/>
      <c r="G45" s="335"/>
      <c r="H45" s="335"/>
      <c r="I45" s="335"/>
      <c r="J45" s="335"/>
      <c r="K45" s="335"/>
      <c r="L45" s="335"/>
      <c r="M45" s="335"/>
      <c r="N45" s="280"/>
      <c r="O45" s="280"/>
    </row>
    <row r="46" spans="2:15" s="91" customFormat="1" ht="15" x14ac:dyDescent="0.25">
      <c r="B46" s="284" t="s">
        <v>122</v>
      </c>
      <c r="C46" s="285"/>
      <c r="D46" s="285"/>
      <c r="E46" s="285"/>
      <c r="F46" s="285"/>
      <c r="G46" s="285"/>
      <c r="H46" s="285"/>
      <c r="I46" s="285"/>
      <c r="J46" s="285"/>
      <c r="K46" s="285"/>
      <c r="L46" s="285"/>
      <c r="M46" s="285"/>
      <c r="N46" s="285"/>
      <c r="O46" s="285"/>
    </row>
    <row r="47" spans="2:15" s="91" customFormat="1" ht="15" customHeight="1" x14ac:dyDescent="0.25">
      <c r="B47" s="281" t="s">
        <v>121</v>
      </c>
      <c r="C47" s="282"/>
      <c r="D47" s="282"/>
      <c r="E47" s="282"/>
      <c r="F47" s="282"/>
      <c r="G47" s="282"/>
      <c r="H47" s="282"/>
      <c r="I47" s="282"/>
      <c r="J47" s="282"/>
      <c r="K47" s="282"/>
      <c r="L47" s="282"/>
      <c r="M47" s="283"/>
      <c r="N47" s="92"/>
      <c r="O47" s="92"/>
    </row>
    <row r="48" spans="2:15" s="91" customFormat="1" ht="15" customHeight="1" x14ac:dyDescent="0.25">
      <c r="B48" s="281" t="s">
        <v>120</v>
      </c>
      <c r="C48" s="282"/>
      <c r="D48" s="282"/>
      <c r="E48" s="282"/>
      <c r="F48" s="282"/>
      <c r="G48" s="282"/>
      <c r="H48" s="282"/>
      <c r="I48" s="282"/>
      <c r="J48" s="282"/>
      <c r="K48" s="282"/>
      <c r="L48" s="282"/>
      <c r="M48" s="283"/>
      <c r="N48" s="92"/>
      <c r="O48" s="92"/>
    </row>
    <row r="49" spans="2:15" s="91" customFormat="1" ht="15" customHeight="1" x14ac:dyDescent="0.25">
      <c r="B49" s="281" t="s">
        <v>119</v>
      </c>
      <c r="C49" s="282"/>
      <c r="D49" s="282"/>
      <c r="E49" s="282"/>
      <c r="F49" s="282"/>
      <c r="G49" s="282"/>
      <c r="H49" s="282"/>
      <c r="I49" s="282"/>
      <c r="J49" s="282"/>
      <c r="K49" s="282"/>
      <c r="L49" s="282"/>
      <c r="M49" s="283"/>
      <c r="N49" s="92"/>
      <c r="O49" s="92"/>
    </row>
    <row r="50" spans="2:15" s="91" customFormat="1" ht="15" customHeight="1" x14ac:dyDescent="0.25">
      <c r="B50" s="281" t="s">
        <v>118</v>
      </c>
      <c r="C50" s="282"/>
      <c r="D50" s="282"/>
      <c r="E50" s="282"/>
      <c r="F50" s="282"/>
      <c r="G50" s="282"/>
      <c r="H50" s="282"/>
      <c r="I50" s="282"/>
      <c r="J50" s="282"/>
      <c r="K50" s="282"/>
      <c r="L50" s="282"/>
      <c r="M50" s="283"/>
      <c r="N50" s="92"/>
      <c r="O50" s="92"/>
    </row>
    <row r="51" spans="2:15" s="91" customFormat="1" ht="15" customHeight="1" x14ac:dyDescent="0.25">
      <c r="B51" s="281" t="s">
        <v>117</v>
      </c>
      <c r="C51" s="282"/>
      <c r="D51" s="282"/>
      <c r="E51" s="282"/>
      <c r="F51" s="282"/>
      <c r="G51" s="282"/>
      <c r="H51" s="282"/>
      <c r="I51" s="282"/>
      <c r="J51" s="282"/>
      <c r="K51" s="282"/>
      <c r="L51" s="282"/>
      <c r="M51" s="283"/>
      <c r="N51" s="92"/>
      <c r="O51" s="92"/>
    </row>
    <row r="52" spans="2:15" s="91" customFormat="1" ht="15" customHeight="1" x14ac:dyDescent="0.25">
      <c r="B52" s="281" t="s">
        <v>116</v>
      </c>
      <c r="C52" s="282"/>
      <c r="D52" s="282"/>
      <c r="E52" s="282"/>
      <c r="F52" s="282"/>
      <c r="G52" s="282"/>
      <c r="H52" s="282"/>
      <c r="I52" s="282"/>
      <c r="J52" s="282"/>
      <c r="K52" s="282"/>
      <c r="L52" s="282"/>
      <c r="M52" s="283"/>
      <c r="N52" s="92"/>
      <c r="O52" s="92"/>
    </row>
    <row r="53" spans="2:15" s="91" customFormat="1" ht="15" x14ac:dyDescent="0.25">
      <c r="B53" s="325" t="s">
        <v>426</v>
      </c>
      <c r="C53" s="325"/>
      <c r="D53" s="325"/>
      <c r="E53" s="325"/>
      <c r="F53" s="325"/>
      <c r="G53" s="325"/>
      <c r="H53" s="325"/>
      <c r="I53" s="325"/>
      <c r="J53" s="325"/>
      <c r="K53" s="325"/>
      <c r="L53" s="325"/>
      <c r="M53" s="325"/>
      <c r="N53" s="275"/>
      <c r="O53" s="275"/>
    </row>
    <row r="54" spans="2:15" s="91" customFormat="1" ht="15" x14ac:dyDescent="0.25"/>
  </sheetData>
  <mergeCells count="87">
    <mergeCell ref="B22:H23"/>
    <mergeCell ref="I22:J23"/>
    <mergeCell ref="K22:M23"/>
    <mergeCell ref="N22:N23"/>
    <mergeCell ref="O22:O23"/>
    <mergeCell ref="B53:M53"/>
    <mergeCell ref="I34:J35"/>
    <mergeCell ref="K34:M35"/>
    <mergeCell ref="B34:H35"/>
    <mergeCell ref="B38:C39"/>
    <mergeCell ref="D38:G39"/>
    <mergeCell ref="H38:J39"/>
    <mergeCell ref="K38:M39"/>
    <mergeCell ref="B40:M41"/>
    <mergeCell ref="B44:M45"/>
    <mergeCell ref="B36:M37"/>
    <mergeCell ref="B52:M52"/>
    <mergeCell ref="B42:M43"/>
    <mergeCell ref="B1:O1"/>
    <mergeCell ref="B2:O2"/>
    <mergeCell ref="C3:K3"/>
    <mergeCell ref="B5:M6"/>
    <mergeCell ref="N5:O5"/>
    <mergeCell ref="C4:F4"/>
    <mergeCell ref="B7:M7"/>
    <mergeCell ref="B8:M8"/>
    <mergeCell ref="B9:M9"/>
    <mergeCell ref="B10:M10"/>
    <mergeCell ref="B11:M11"/>
    <mergeCell ref="B12:M12"/>
    <mergeCell ref="B13:F16"/>
    <mergeCell ref="G13:K13"/>
    <mergeCell ref="L13:M13"/>
    <mergeCell ref="N13:N16"/>
    <mergeCell ref="L15:M15"/>
    <mergeCell ref="G15:K15"/>
    <mergeCell ref="O13:O16"/>
    <mergeCell ref="G14:K14"/>
    <mergeCell ref="L14:M14"/>
    <mergeCell ref="G16:K16"/>
    <mergeCell ref="L16:M16"/>
    <mergeCell ref="B17:M17"/>
    <mergeCell ref="N17:N19"/>
    <mergeCell ref="O17:O19"/>
    <mergeCell ref="B18:M19"/>
    <mergeCell ref="B20:M20"/>
    <mergeCell ref="N20:N21"/>
    <mergeCell ref="O20:O21"/>
    <mergeCell ref="B21:M21"/>
    <mergeCell ref="B24:M24"/>
    <mergeCell ref="N24:N25"/>
    <mergeCell ref="O24:O25"/>
    <mergeCell ref="B25:M25"/>
    <mergeCell ref="B26:M26"/>
    <mergeCell ref="N26:N27"/>
    <mergeCell ref="O26:O27"/>
    <mergeCell ref="B27:M27"/>
    <mergeCell ref="B28:M28"/>
    <mergeCell ref="N28:N29"/>
    <mergeCell ref="O28:O29"/>
    <mergeCell ref="B29:M29"/>
    <mergeCell ref="B30:M30"/>
    <mergeCell ref="N30:N31"/>
    <mergeCell ref="O30:O31"/>
    <mergeCell ref="B31:M31"/>
    <mergeCell ref="B32:M32"/>
    <mergeCell ref="N32:N33"/>
    <mergeCell ref="O32:O33"/>
    <mergeCell ref="B33:M33"/>
    <mergeCell ref="N34:N35"/>
    <mergeCell ref="O34:O35"/>
    <mergeCell ref="N36:N37"/>
    <mergeCell ref="O36:O37"/>
    <mergeCell ref="N38:N39"/>
    <mergeCell ref="O38:O39"/>
    <mergeCell ref="B51:M51"/>
    <mergeCell ref="B46:O46"/>
    <mergeCell ref="B47:M47"/>
    <mergeCell ref="B48:M48"/>
    <mergeCell ref="B49:M49"/>
    <mergeCell ref="B50:M50"/>
    <mergeCell ref="N44:N45"/>
    <mergeCell ref="O44:O45"/>
    <mergeCell ref="N40:N41"/>
    <mergeCell ref="O40:O41"/>
    <mergeCell ref="N42:N43"/>
    <mergeCell ref="O42:O43"/>
  </mergeCells>
  <dataValidations count="1">
    <dataValidation type="list" allowBlank="1" sqref="D38:G39" xr:uid="{295BEE2E-97CA-4BCD-83F2-DFB5872E534C}">
      <formula1>AQ:AQ</formula1>
    </dataValidation>
  </dataValidations>
  <printOptions horizontalCentered="1"/>
  <pageMargins left="0.25" right="0.25" top="0.25" bottom="0" header="0" footer="0"/>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13</xdr:col>
                    <xdr:colOff>190500</xdr:colOff>
                    <xdr:row>5</xdr:row>
                    <xdr:rowOff>152400</xdr:rowOff>
                  </from>
                  <to>
                    <xdr:col>13</xdr:col>
                    <xdr:colOff>361950</xdr:colOff>
                    <xdr:row>7</xdr:row>
                    <xdr:rowOff>19050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13</xdr:col>
                    <xdr:colOff>190500</xdr:colOff>
                    <xdr:row>12</xdr:row>
                    <xdr:rowOff>200025</xdr:rowOff>
                  </from>
                  <to>
                    <xdr:col>13</xdr:col>
                    <xdr:colOff>361950</xdr:colOff>
                    <xdr:row>14</xdr:row>
                    <xdr:rowOff>57150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13</xdr:col>
                    <xdr:colOff>190500</xdr:colOff>
                    <xdr:row>16</xdr:row>
                    <xdr:rowOff>200025</xdr:rowOff>
                  </from>
                  <to>
                    <xdr:col>13</xdr:col>
                    <xdr:colOff>361950</xdr:colOff>
                    <xdr:row>18</xdr:row>
                    <xdr:rowOff>57150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14</xdr:col>
                    <xdr:colOff>190500</xdr:colOff>
                    <xdr:row>12</xdr:row>
                    <xdr:rowOff>200025</xdr:rowOff>
                  </from>
                  <to>
                    <xdr:col>14</xdr:col>
                    <xdr:colOff>361950</xdr:colOff>
                    <xdr:row>14</xdr:row>
                    <xdr:rowOff>57150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13</xdr:col>
                    <xdr:colOff>190500</xdr:colOff>
                    <xdr:row>16</xdr:row>
                    <xdr:rowOff>200025</xdr:rowOff>
                  </from>
                  <to>
                    <xdr:col>13</xdr:col>
                    <xdr:colOff>361950</xdr:colOff>
                    <xdr:row>18</xdr:row>
                    <xdr:rowOff>57150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14</xdr:col>
                    <xdr:colOff>190500</xdr:colOff>
                    <xdr:row>16</xdr:row>
                    <xdr:rowOff>200025</xdr:rowOff>
                  </from>
                  <to>
                    <xdr:col>14</xdr:col>
                    <xdr:colOff>361950</xdr:colOff>
                    <xdr:row>18</xdr:row>
                    <xdr:rowOff>57150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13</xdr:col>
                    <xdr:colOff>180975</xdr:colOff>
                    <xdr:row>19</xdr:row>
                    <xdr:rowOff>85725</xdr:rowOff>
                  </from>
                  <to>
                    <xdr:col>13</xdr:col>
                    <xdr:colOff>361950</xdr:colOff>
                    <xdr:row>21</xdr:row>
                    <xdr:rowOff>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14</xdr:col>
                    <xdr:colOff>180975</xdr:colOff>
                    <xdr:row>19</xdr:row>
                    <xdr:rowOff>85725</xdr:rowOff>
                  </from>
                  <to>
                    <xdr:col>14</xdr:col>
                    <xdr:colOff>361950</xdr:colOff>
                    <xdr:row>21</xdr:row>
                    <xdr:rowOff>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13</xdr:col>
                    <xdr:colOff>180975</xdr:colOff>
                    <xdr:row>23</xdr:row>
                    <xdr:rowOff>85725</xdr:rowOff>
                  </from>
                  <to>
                    <xdr:col>13</xdr:col>
                    <xdr:colOff>361950</xdr:colOff>
                    <xdr:row>25</xdr:row>
                    <xdr:rowOff>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14</xdr:col>
                    <xdr:colOff>180975</xdr:colOff>
                    <xdr:row>23</xdr:row>
                    <xdr:rowOff>85725</xdr:rowOff>
                  </from>
                  <to>
                    <xdr:col>14</xdr:col>
                    <xdr:colOff>361950</xdr:colOff>
                    <xdr:row>25</xdr:row>
                    <xdr:rowOff>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13</xdr:col>
                    <xdr:colOff>180975</xdr:colOff>
                    <xdr:row>25</xdr:row>
                    <xdr:rowOff>85725</xdr:rowOff>
                  </from>
                  <to>
                    <xdr:col>13</xdr:col>
                    <xdr:colOff>361950</xdr:colOff>
                    <xdr:row>27</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14</xdr:col>
                    <xdr:colOff>180975</xdr:colOff>
                    <xdr:row>25</xdr:row>
                    <xdr:rowOff>85725</xdr:rowOff>
                  </from>
                  <to>
                    <xdr:col>14</xdr:col>
                    <xdr:colOff>361950</xdr:colOff>
                    <xdr:row>27</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13</xdr:col>
                    <xdr:colOff>180975</xdr:colOff>
                    <xdr:row>27</xdr:row>
                    <xdr:rowOff>85725</xdr:rowOff>
                  </from>
                  <to>
                    <xdr:col>13</xdr:col>
                    <xdr:colOff>361950</xdr:colOff>
                    <xdr:row>29</xdr:row>
                    <xdr:rowOff>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14</xdr:col>
                    <xdr:colOff>180975</xdr:colOff>
                    <xdr:row>27</xdr:row>
                    <xdr:rowOff>85725</xdr:rowOff>
                  </from>
                  <to>
                    <xdr:col>14</xdr:col>
                    <xdr:colOff>361950</xdr:colOff>
                    <xdr:row>29</xdr:row>
                    <xdr:rowOff>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13</xdr:col>
                    <xdr:colOff>180975</xdr:colOff>
                    <xdr:row>29</xdr:row>
                    <xdr:rowOff>85725</xdr:rowOff>
                  </from>
                  <to>
                    <xdr:col>13</xdr:col>
                    <xdr:colOff>361950</xdr:colOff>
                    <xdr:row>31</xdr:row>
                    <xdr:rowOff>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14</xdr:col>
                    <xdr:colOff>180975</xdr:colOff>
                    <xdr:row>29</xdr:row>
                    <xdr:rowOff>85725</xdr:rowOff>
                  </from>
                  <to>
                    <xdr:col>14</xdr:col>
                    <xdr:colOff>361950</xdr:colOff>
                    <xdr:row>31</xdr:row>
                    <xdr:rowOff>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13</xdr:col>
                    <xdr:colOff>180975</xdr:colOff>
                    <xdr:row>31</xdr:row>
                    <xdr:rowOff>85725</xdr:rowOff>
                  </from>
                  <to>
                    <xdr:col>13</xdr:col>
                    <xdr:colOff>361950</xdr:colOff>
                    <xdr:row>33</xdr:row>
                    <xdr:rowOff>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14</xdr:col>
                    <xdr:colOff>180975</xdr:colOff>
                    <xdr:row>31</xdr:row>
                    <xdr:rowOff>85725</xdr:rowOff>
                  </from>
                  <to>
                    <xdr:col>14</xdr:col>
                    <xdr:colOff>361950</xdr:colOff>
                    <xdr:row>33</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13</xdr:col>
                    <xdr:colOff>180975</xdr:colOff>
                    <xdr:row>33</xdr:row>
                    <xdr:rowOff>85725</xdr:rowOff>
                  </from>
                  <to>
                    <xdr:col>13</xdr:col>
                    <xdr:colOff>361950</xdr:colOff>
                    <xdr:row>35</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14</xdr:col>
                    <xdr:colOff>180975</xdr:colOff>
                    <xdr:row>33</xdr:row>
                    <xdr:rowOff>85725</xdr:rowOff>
                  </from>
                  <to>
                    <xdr:col>14</xdr:col>
                    <xdr:colOff>361950</xdr:colOff>
                    <xdr:row>35</xdr:row>
                    <xdr:rowOff>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13</xdr:col>
                    <xdr:colOff>180975</xdr:colOff>
                    <xdr:row>35</xdr:row>
                    <xdr:rowOff>85725</xdr:rowOff>
                  </from>
                  <to>
                    <xdr:col>13</xdr:col>
                    <xdr:colOff>361950</xdr:colOff>
                    <xdr:row>37</xdr:row>
                    <xdr:rowOff>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14</xdr:col>
                    <xdr:colOff>180975</xdr:colOff>
                    <xdr:row>35</xdr:row>
                    <xdr:rowOff>85725</xdr:rowOff>
                  </from>
                  <to>
                    <xdr:col>14</xdr:col>
                    <xdr:colOff>361950</xdr:colOff>
                    <xdr:row>37</xdr:row>
                    <xdr:rowOff>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13</xdr:col>
                    <xdr:colOff>180975</xdr:colOff>
                    <xdr:row>37</xdr:row>
                    <xdr:rowOff>85725</xdr:rowOff>
                  </from>
                  <to>
                    <xdr:col>13</xdr:col>
                    <xdr:colOff>361950</xdr:colOff>
                    <xdr:row>39</xdr:row>
                    <xdr:rowOff>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14</xdr:col>
                    <xdr:colOff>180975</xdr:colOff>
                    <xdr:row>37</xdr:row>
                    <xdr:rowOff>85725</xdr:rowOff>
                  </from>
                  <to>
                    <xdr:col>14</xdr:col>
                    <xdr:colOff>361950</xdr:colOff>
                    <xdr:row>39</xdr:row>
                    <xdr:rowOff>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14</xdr:col>
                    <xdr:colOff>190500</xdr:colOff>
                    <xdr:row>5</xdr:row>
                    <xdr:rowOff>152400</xdr:rowOff>
                  </from>
                  <to>
                    <xdr:col>14</xdr:col>
                    <xdr:colOff>361950</xdr:colOff>
                    <xdr:row>7</xdr:row>
                    <xdr:rowOff>19050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14</xdr:col>
                    <xdr:colOff>190500</xdr:colOff>
                    <xdr:row>6</xdr:row>
                    <xdr:rowOff>152400</xdr:rowOff>
                  </from>
                  <to>
                    <xdr:col>14</xdr:col>
                    <xdr:colOff>361950</xdr:colOff>
                    <xdr:row>8</xdr:row>
                    <xdr:rowOff>19050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13</xdr:col>
                    <xdr:colOff>200025</xdr:colOff>
                    <xdr:row>8</xdr:row>
                    <xdr:rowOff>95250</xdr:rowOff>
                  </from>
                  <to>
                    <xdr:col>13</xdr:col>
                    <xdr:colOff>361950</xdr:colOff>
                    <xdr:row>8</xdr:row>
                    <xdr:rowOff>323850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14</xdr:col>
                    <xdr:colOff>190500</xdr:colOff>
                    <xdr:row>8</xdr:row>
                    <xdr:rowOff>66675</xdr:rowOff>
                  </from>
                  <to>
                    <xdr:col>14</xdr:col>
                    <xdr:colOff>361950</xdr:colOff>
                    <xdr:row>8</xdr:row>
                    <xdr:rowOff>323850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13</xdr:col>
                    <xdr:colOff>200025</xdr:colOff>
                    <xdr:row>45</xdr:row>
                    <xdr:rowOff>161925</xdr:rowOff>
                  </from>
                  <to>
                    <xdr:col>13</xdr:col>
                    <xdr:colOff>438150</xdr:colOff>
                    <xdr:row>47</xdr:row>
                    <xdr:rowOff>19050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14</xdr:col>
                    <xdr:colOff>200025</xdr:colOff>
                    <xdr:row>45</xdr:row>
                    <xdr:rowOff>161925</xdr:rowOff>
                  </from>
                  <to>
                    <xdr:col>14</xdr:col>
                    <xdr:colOff>438150</xdr:colOff>
                    <xdr:row>47</xdr:row>
                    <xdr:rowOff>19050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13</xdr:col>
                    <xdr:colOff>200025</xdr:colOff>
                    <xdr:row>46</xdr:row>
                    <xdr:rowOff>190500</xdr:rowOff>
                  </from>
                  <to>
                    <xdr:col>13</xdr:col>
                    <xdr:colOff>438150</xdr:colOff>
                    <xdr:row>48</xdr:row>
                    <xdr:rowOff>19050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14</xdr:col>
                    <xdr:colOff>200025</xdr:colOff>
                    <xdr:row>46</xdr:row>
                    <xdr:rowOff>190500</xdr:rowOff>
                  </from>
                  <to>
                    <xdr:col>14</xdr:col>
                    <xdr:colOff>438150</xdr:colOff>
                    <xdr:row>48</xdr:row>
                    <xdr:rowOff>19050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13</xdr:col>
                    <xdr:colOff>200025</xdr:colOff>
                    <xdr:row>47</xdr:row>
                    <xdr:rowOff>190500</xdr:rowOff>
                  </from>
                  <to>
                    <xdr:col>13</xdr:col>
                    <xdr:colOff>438150</xdr:colOff>
                    <xdr:row>49</xdr:row>
                    <xdr:rowOff>19050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14</xdr:col>
                    <xdr:colOff>200025</xdr:colOff>
                    <xdr:row>47</xdr:row>
                    <xdr:rowOff>190500</xdr:rowOff>
                  </from>
                  <to>
                    <xdr:col>14</xdr:col>
                    <xdr:colOff>438150</xdr:colOff>
                    <xdr:row>49</xdr:row>
                    <xdr:rowOff>19050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13</xdr:col>
                    <xdr:colOff>200025</xdr:colOff>
                    <xdr:row>48</xdr:row>
                    <xdr:rowOff>190500</xdr:rowOff>
                  </from>
                  <to>
                    <xdr:col>13</xdr:col>
                    <xdr:colOff>438150</xdr:colOff>
                    <xdr:row>50</xdr:row>
                    <xdr:rowOff>19050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14</xdr:col>
                    <xdr:colOff>200025</xdr:colOff>
                    <xdr:row>48</xdr:row>
                    <xdr:rowOff>190500</xdr:rowOff>
                  </from>
                  <to>
                    <xdr:col>14</xdr:col>
                    <xdr:colOff>438150</xdr:colOff>
                    <xdr:row>50</xdr:row>
                    <xdr:rowOff>19050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13</xdr:col>
                    <xdr:colOff>200025</xdr:colOff>
                    <xdr:row>48</xdr:row>
                    <xdr:rowOff>190500</xdr:rowOff>
                  </from>
                  <to>
                    <xdr:col>13</xdr:col>
                    <xdr:colOff>438150</xdr:colOff>
                    <xdr:row>50</xdr:row>
                    <xdr:rowOff>19050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14</xdr:col>
                    <xdr:colOff>200025</xdr:colOff>
                    <xdr:row>48</xdr:row>
                    <xdr:rowOff>190500</xdr:rowOff>
                  </from>
                  <to>
                    <xdr:col>14</xdr:col>
                    <xdr:colOff>438150</xdr:colOff>
                    <xdr:row>50</xdr:row>
                    <xdr:rowOff>19050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13</xdr:col>
                    <xdr:colOff>200025</xdr:colOff>
                    <xdr:row>49</xdr:row>
                    <xdr:rowOff>190500</xdr:rowOff>
                  </from>
                  <to>
                    <xdr:col>13</xdr:col>
                    <xdr:colOff>438150</xdr:colOff>
                    <xdr:row>51</xdr:row>
                    <xdr:rowOff>19050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14</xdr:col>
                    <xdr:colOff>200025</xdr:colOff>
                    <xdr:row>49</xdr:row>
                    <xdr:rowOff>190500</xdr:rowOff>
                  </from>
                  <to>
                    <xdr:col>14</xdr:col>
                    <xdr:colOff>438150</xdr:colOff>
                    <xdr:row>51</xdr:row>
                    <xdr:rowOff>19050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13</xdr:col>
                    <xdr:colOff>200025</xdr:colOff>
                    <xdr:row>49</xdr:row>
                    <xdr:rowOff>190500</xdr:rowOff>
                  </from>
                  <to>
                    <xdr:col>13</xdr:col>
                    <xdr:colOff>438150</xdr:colOff>
                    <xdr:row>51</xdr:row>
                    <xdr:rowOff>19050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14</xdr:col>
                    <xdr:colOff>200025</xdr:colOff>
                    <xdr:row>49</xdr:row>
                    <xdr:rowOff>190500</xdr:rowOff>
                  </from>
                  <to>
                    <xdr:col>14</xdr:col>
                    <xdr:colOff>438150</xdr:colOff>
                    <xdr:row>51</xdr:row>
                    <xdr:rowOff>19050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13</xdr:col>
                    <xdr:colOff>200025</xdr:colOff>
                    <xdr:row>50</xdr:row>
                    <xdr:rowOff>190500</xdr:rowOff>
                  </from>
                  <to>
                    <xdr:col>13</xdr:col>
                    <xdr:colOff>438150</xdr:colOff>
                    <xdr:row>52</xdr:row>
                    <xdr:rowOff>19050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14</xdr:col>
                    <xdr:colOff>200025</xdr:colOff>
                    <xdr:row>50</xdr:row>
                    <xdr:rowOff>190500</xdr:rowOff>
                  </from>
                  <to>
                    <xdr:col>14</xdr:col>
                    <xdr:colOff>438150</xdr:colOff>
                    <xdr:row>52</xdr:row>
                    <xdr:rowOff>19050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13</xdr:col>
                    <xdr:colOff>200025</xdr:colOff>
                    <xdr:row>50</xdr:row>
                    <xdr:rowOff>190500</xdr:rowOff>
                  </from>
                  <to>
                    <xdr:col>13</xdr:col>
                    <xdr:colOff>438150</xdr:colOff>
                    <xdr:row>52</xdr:row>
                    <xdr:rowOff>19050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14</xdr:col>
                    <xdr:colOff>200025</xdr:colOff>
                    <xdr:row>50</xdr:row>
                    <xdr:rowOff>190500</xdr:rowOff>
                  </from>
                  <to>
                    <xdr:col>14</xdr:col>
                    <xdr:colOff>438150</xdr:colOff>
                    <xdr:row>52</xdr:row>
                    <xdr:rowOff>19050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13</xdr:col>
                    <xdr:colOff>190500</xdr:colOff>
                    <xdr:row>8</xdr:row>
                    <xdr:rowOff>371475</xdr:rowOff>
                  </from>
                  <to>
                    <xdr:col>13</xdr:col>
                    <xdr:colOff>361950</xdr:colOff>
                    <xdr:row>10</xdr:row>
                    <xdr:rowOff>38100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14</xdr:col>
                    <xdr:colOff>190500</xdr:colOff>
                    <xdr:row>8</xdr:row>
                    <xdr:rowOff>371475</xdr:rowOff>
                  </from>
                  <to>
                    <xdr:col>14</xdr:col>
                    <xdr:colOff>361950</xdr:colOff>
                    <xdr:row>10</xdr:row>
                    <xdr:rowOff>38100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13</xdr:col>
                    <xdr:colOff>190500</xdr:colOff>
                    <xdr:row>9</xdr:row>
                    <xdr:rowOff>171450</xdr:rowOff>
                  </from>
                  <to>
                    <xdr:col>13</xdr:col>
                    <xdr:colOff>361950</xdr:colOff>
                    <xdr:row>11</xdr:row>
                    <xdr:rowOff>19050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14</xdr:col>
                    <xdr:colOff>190500</xdr:colOff>
                    <xdr:row>9</xdr:row>
                    <xdr:rowOff>152400</xdr:rowOff>
                  </from>
                  <to>
                    <xdr:col>14</xdr:col>
                    <xdr:colOff>361950</xdr:colOff>
                    <xdr:row>11</xdr:row>
                    <xdr:rowOff>38100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13</xdr:col>
                    <xdr:colOff>190500</xdr:colOff>
                    <xdr:row>10</xdr:row>
                    <xdr:rowOff>161925</xdr:rowOff>
                  </from>
                  <to>
                    <xdr:col>13</xdr:col>
                    <xdr:colOff>381000</xdr:colOff>
                    <xdr:row>12</xdr:row>
                    <xdr:rowOff>57150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14</xdr:col>
                    <xdr:colOff>190500</xdr:colOff>
                    <xdr:row>10</xdr:row>
                    <xdr:rowOff>152400</xdr:rowOff>
                  </from>
                  <to>
                    <xdr:col>14</xdr:col>
                    <xdr:colOff>438150</xdr:colOff>
                    <xdr:row>12</xdr:row>
                    <xdr:rowOff>57150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13</xdr:col>
                    <xdr:colOff>190500</xdr:colOff>
                    <xdr:row>6</xdr:row>
                    <xdr:rowOff>152400</xdr:rowOff>
                  </from>
                  <to>
                    <xdr:col>13</xdr:col>
                    <xdr:colOff>361950</xdr:colOff>
                    <xdr:row>8</xdr:row>
                    <xdr:rowOff>19050</xdr:rowOff>
                  </to>
                </anchor>
              </controlPr>
            </control>
          </mc:Choice>
        </mc:AlternateContent>
        <mc:AlternateContent xmlns:mc="http://schemas.openxmlformats.org/markup-compatibility/2006">
          <mc:Choice Requires="x14">
            <control shapeId="8246" r:id="rId57" name="Check Box 54">
              <controlPr defaultSize="0" autoFill="0" autoLine="0" autoPict="0" macro="[0]!CheckBox54_Click">
                <anchor moveWithCells="1">
                  <from>
                    <xdr:col>13</xdr:col>
                    <xdr:colOff>200025</xdr:colOff>
                    <xdr:row>51</xdr:row>
                    <xdr:rowOff>180975</xdr:rowOff>
                  </from>
                  <to>
                    <xdr:col>13</xdr:col>
                    <xdr:colOff>438150</xdr:colOff>
                    <xdr:row>53</xdr:row>
                    <xdr:rowOff>28575</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14</xdr:col>
                    <xdr:colOff>200025</xdr:colOff>
                    <xdr:row>51</xdr:row>
                    <xdr:rowOff>171450</xdr:rowOff>
                  </from>
                  <to>
                    <xdr:col>14</xdr:col>
                    <xdr:colOff>438150</xdr:colOff>
                    <xdr:row>53</xdr:row>
                    <xdr:rowOff>19050</xdr:rowOff>
                  </to>
                </anchor>
              </controlPr>
            </control>
          </mc:Choice>
        </mc:AlternateContent>
        <mc:AlternateContent xmlns:mc="http://schemas.openxmlformats.org/markup-compatibility/2006">
          <mc:Choice Requires="x14">
            <control shapeId="8249" r:id="rId59" name="Check Box 57">
              <controlPr defaultSize="0" autoFill="0" autoLine="0" autoPict="0">
                <anchor moveWithCells="1">
                  <from>
                    <xdr:col>13</xdr:col>
                    <xdr:colOff>180975</xdr:colOff>
                    <xdr:row>21</xdr:row>
                    <xdr:rowOff>95250</xdr:rowOff>
                  </from>
                  <to>
                    <xdr:col>13</xdr:col>
                    <xdr:colOff>381000</xdr:colOff>
                    <xdr:row>22</xdr:row>
                    <xdr:rowOff>95250</xdr:rowOff>
                  </to>
                </anchor>
              </controlPr>
            </control>
          </mc:Choice>
        </mc:AlternateContent>
        <mc:AlternateContent xmlns:mc="http://schemas.openxmlformats.org/markup-compatibility/2006">
          <mc:Choice Requires="x14">
            <control shapeId="8251" r:id="rId60" name="Check Box 59">
              <controlPr defaultSize="0" autoFill="0" autoLine="0" autoPict="0">
                <anchor moveWithCells="1">
                  <from>
                    <xdr:col>14</xdr:col>
                    <xdr:colOff>180975</xdr:colOff>
                    <xdr:row>21</xdr:row>
                    <xdr:rowOff>38100</xdr:rowOff>
                  </from>
                  <to>
                    <xdr:col>14</xdr:col>
                    <xdr:colOff>361950</xdr:colOff>
                    <xdr:row>22</xdr:row>
                    <xdr:rowOff>123825</xdr:rowOff>
                  </to>
                </anchor>
              </controlPr>
            </control>
          </mc:Choice>
        </mc:AlternateContent>
        <mc:AlternateContent xmlns:mc="http://schemas.openxmlformats.org/markup-compatibility/2006">
          <mc:Choice Requires="x14">
            <control shapeId="8252" r:id="rId61" name="Check Box 60">
              <controlPr defaultSize="0" autoFill="0" autoLine="0" autoPict="0">
                <anchor moveWithCells="1">
                  <from>
                    <xdr:col>13</xdr:col>
                    <xdr:colOff>180975</xdr:colOff>
                    <xdr:row>39</xdr:row>
                    <xdr:rowOff>85725</xdr:rowOff>
                  </from>
                  <to>
                    <xdr:col>13</xdr:col>
                    <xdr:colOff>361950</xdr:colOff>
                    <xdr:row>41</xdr:row>
                    <xdr:rowOff>0</xdr:rowOff>
                  </to>
                </anchor>
              </controlPr>
            </control>
          </mc:Choice>
        </mc:AlternateContent>
        <mc:AlternateContent xmlns:mc="http://schemas.openxmlformats.org/markup-compatibility/2006">
          <mc:Choice Requires="x14">
            <control shapeId="8253" r:id="rId62" name="Check Box 61">
              <controlPr defaultSize="0" autoFill="0" autoLine="0" autoPict="0">
                <anchor moveWithCells="1">
                  <from>
                    <xdr:col>14</xdr:col>
                    <xdr:colOff>180975</xdr:colOff>
                    <xdr:row>39</xdr:row>
                    <xdr:rowOff>85725</xdr:rowOff>
                  </from>
                  <to>
                    <xdr:col>14</xdr:col>
                    <xdr:colOff>361950</xdr:colOff>
                    <xdr:row>41</xdr:row>
                    <xdr:rowOff>0</xdr:rowOff>
                  </to>
                </anchor>
              </controlPr>
            </control>
          </mc:Choice>
        </mc:AlternateContent>
        <mc:AlternateContent xmlns:mc="http://schemas.openxmlformats.org/markup-compatibility/2006">
          <mc:Choice Requires="x14">
            <control shapeId="8254" r:id="rId63" name="Check Box 62">
              <controlPr defaultSize="0" autoFill="0" autoLine="0" autoPict="0">
                <anchor moveWithCells="1">
                  <from>
                    <xdr:col>13</xdr:col>
                    <xdr:colOff>180975</xdr:colOff>
                    <xdr:row>41</xdr:row>
                    <xdr:rowOff>85725</xdr:rowOff>
                  </from>
                  <to>
                    <xdr:col>13</xdr:col>
                    <xdr:colOff>361950</xdr:colOff>
                    <xdr:row>43</xdr:row>
                    <xdr:rowOff>0</xdr:rowOff>
                  </to>
                </anchor>
              </controlPr>
            </control>
          </mc:Choice>
        </mc:AlternateContent>
        <mc:AlternateContent xmlns:mc="http://schemas.openxmlformats.org/markup-compatibility/2006">
          <mc:Choice Requires="x14">
            <control shapeId="8255" r:id="rId64" name="Check Box 63">
              <controlPr defaultSize="0" autoFill="0" autoLine="0" autoPict="0">
                <anchor moveWithCells="1">
                  <from>
                    <xdr:col>14</xdr:col>
                    <xdr:colOff>180975</xdr:colOff>
                    <xdr:row>41</xdr:row>
                    <xdr:rowOff>85725</xdr:rowOff>
                  </from>
                  <to>
                    <xdr:col>14</xdr:col>
                    <xdr:colOff>361950</xdr:colOff>
                    <xdr:row>43</xdr:row>
                    <xdr:rowOff>0</xdr:rowOff>
                  </to>
                </anchor>
              </controlPr>
            </control>
          </mc:Choice>
        </mc:AlternateContent>
        <mc:AlternateContent xmlns:mc="http://schemas.openxmlformats.org/markup-compatibility/2006">
          <mc:Choice Requires="x14">
            <control shapeId="8256" r:id="rId65" name="Check Box 64">
              <controlPr defaultSize="0" autoFill="0" autoLine="0" autoPict="0">
                <anchor moveWithCells="1">
                  <from>
                    <xdr:col>13</xdr:col>
                    <xdr:colOff>180975</xdr:colOff>
                    <xdr:row>43</xdr:row>
                    <xdr:rowOff>85725</xdr:rowOff>
                  </from>
                  <to>
                    <xdr:col>13</xdr:col>
                    <xdr:colOff>361950</xdr:colOff>
                    <xdr:row>44</xdr:row>
                    <xdr:rowOff>171450</xdr:rowOff>
                  </to>
                </anchor>
              </controlPr>
            </control>
          </mc:Choice>
        </mc:AlternateContent>
        <mc:AlternateContent xmlns:mc="http://schemas.openxmlformats.org/markup-compatibility/2006">
          <mc:Choice Requires="x14">
            <control shapeId="8257" r:id="rId66" name="Check Box 65">
              <controlPr defaultSize="0" autoFill="0" autoLine="0" autoPict="0">
                <anchor moveWithCells="1">
                  <from>
                    <xdr:col>14</xdr:col>
                    <xdr:colOff>180975</xdr:colOff>
                    <xdr:row>43</xdr:row>
                    <xdr:rowOff>85725</xdr:rowOff>
                  </from>
                  <to>
                    <xdr:col>14</xdr:col>
                    <xdr:colOff>361950</xdr:colOff>
                    <xdr:row>44</xdr:row>
                    <xdr:rowOff>171450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vt:i4>
      </vt:variant>
    </vt:vector>
  </HeadingPairs>
  <TitlesOfParts>
    <vt:vector size="16" baseType="lpstr">
      <vt:lpstr>RECAP</vt:lpstr>
      <vt:lpstr>Structural</vt:lpstr>
      <vt:lpstr>J&amp;D</vt:lpstr>
      <vt:lpstr>Misc.</vt:lpstr>
      <vt:lpstr>Outsourced</vt:lpstr>
      <vt:lpstr>Labor</vt:lpstr>
      <vt:lpstr>Allowance</vt:lpstr>
      <vt:lpstr>Addtn'l (AKP)</vt:lpstr>
      <vt:lpstr>Proposal</vt:lpstr>
      <vt:lpstr>COST CODES</vt:lpstr>
      <vt:lpstr>Estimator Notes</vt:lpstr>
      <vt:lpstr>Contract Review Record</vt:lpstr>
      <vt:lpstr>'Addtn''l (AKP)'!Print_Area</vt:lpstr>
      <vt:lpstr>'COST CODES'!Print_Area</vt:lpstr>
      <vt:lpstr>Proposal!Print_Area</vt:lpstr>
      <vt:lpstr>RECAP!Print_Area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 Pfleger</dc:creator>
  <cp:lastModifiedBy>Joshua Waller</cp:lastModifiedBy>
  <cp:lastPrinted>2026-04-05T17:16:29Z</cp:lastPrinted>
  <dcterms:created xsi:type="dcterms:W3CDTF">2026-03-16T19:57:50Z</dcterms:created>
  <dcterms:modified xsi:type="dcterms:W3CDTF">2026-08-04T14:25:43Z</dcterms:modified>
</cp:coreProperties>
</file>